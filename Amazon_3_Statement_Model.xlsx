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0183161846bf14/WSP/"/>
    </mc:Choice>
  </mc:AlternateContent>
  <xr:revisionPtr revIDLastSave="48" documentId="8_{4FD795D7-F3A3-4B04-BA0E-A9A905CF37A3}" xr6:coauthVersionLast="47" xr6:coauthVersionMax="47" xr10:uidLastSave="{B0EA0DF0-F4CE-4CB3-B43F-200A60BDC472}"/>
  <bookViews>
    <workbookView xWindow="-105" yWindow="0" windowWidth="14610" windowHeight="15585" xr2:uid="{DC8294C0-150A-42D4-BC6E-A27B0595277D}"/>
  </bookViews>
  <sheets>
    <sheet name="3 Statement Model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4" i="1" l="1"/>
  <c r="G191" i="1"/>
  <c r="H191" i="1" s="1"/>
  <c r="I191" i="1" s="1"/>
  <c r="J191" i="1" s="1"/>
  <c r="B180" i="1"/>
  <c r="B179" i="1"/>
  <c r="I176" i="1"/>
  <c r="H176" i="1"/>
  <c r="G176" i="1"/>
  <c r="F176" i="1"/>
  <c r="I175" i="1"/>
  <c r="I174" i="1" s="1"/>
  <c r="H174" i="1"/>
  <c r="G174" i="1"/>
  <c r="F174" i="1"/>
  <c r="I172" i="1"/>
  <c r="H172" i="1"/>
  <c r="G172" i="1"/>
  <c r="F172" i="1"/>
  <c r="I171" i="1"/>
  <c r="H170" i="1"/>
  <c r="G170" i="1"/>
  <c r="F170" i="1"/>
  <c r="I168" i="1"/>
  <c r="H168" i="1"/>
  <c r="G168" i="1"/>
  <c r="F168" i="1"/>
  <c r="J167" i="1"/>
  <c r="I167" i="1"/>
  <c r="I166" i="1" s="1"/>
  <c r="H166" i="1"/>
  <c r="G166" i="1"/>
  <c r="F166" i="1"/>
  <c r="H164" i="1"/>
  <c r="G164" i="1"/>
  <c r="F164" i="1"/>
  <c r="I163" i="1"/>
  <c r="J163" i="1" s="1"/>
  <c r="H163" i="1"/>
  <c r="G163" i="1"/>
  <c r="F163" i="1"/>
  <c r="H162" i="1"/>
  <c r="G162" i="1"/>
  <c r="F162" i="1"/>
  <c r="I159" i="1"/>
  <c r="I42" i="1" s="1"/>
  <c r="H159" i="1"/>
  <c r="H42" i="1" s="1"/>
  <c r="G159" i="1"/>
  <c r="F159" i="1"/>
  <c r="E159" i="1"/>
  <c r="H158" i="1"/>
  <c r="G158" i="1"/>
  <c r="F158" i="1"/>
  <c r="E158" i="1"/>
  <c r="I157" i="1"/>
  <c r="H157" i="1"/>
  <c r="G157" i="1"/>
  <c r="F157" i="1"/>
  <c r="E157" i="1"/>
  <c r="H156" i="1"/>
  <c r="G156" i="1"/>
  <c r="G39" i="1" s="1"/>
  <c r="F156" i="1"/>
  <c r="F39" i="1" s="1"/>
  <c r="F49" i="1" s="1"/>
  <c r="E156" i="1"/>
  <c r="C154" i="1"/>
  <c r="E138" i="1"/>
  <c r="D138" i="1"/>
  <c r="C138" i="1"/>
  <c r="F137" i="1"/>
  <c r="G137" i="1" s="1"/>
  <c r="H137" i="1" s="1"/>
  <c r="I137" i="1" s="1"/>
  <c r="J137" i="1" s="1"/>
  <c r="D134" i="1"/>
  <c r="E132" i="1"/>
  <c r="D132" i="1"/>
  <c r="E133" i="1" s="1"/>
  <c r="F133" i="1" s="1"/>
  <c r="E129" i="1"/>
  <c r="E134" i="1" s="1"/>
  <c r="D129" i="1"/>
  <c r="C129" i="1"/>
  <c r="E127" i="1"/>
  <c r="D127" i="1"/>
  <c r="C127" i="1"/>
  <c r="B127" i="1"/>
  <c r="E126" i="1"/>
  <c r="D126" i="1"/>
  <c r="B126" i="1"/>
  <c r="E122" i="1"/>
  <c r="D122" i="1"/>
  <c r="C122" i="1"/>
  <c r="F121" i="1"/>
  <c r="F189" i="1" s="1"/>
  <c r="H120" i="1"/>
  <c r="I120" i="1" s="1"/>
  <c r="G120" i="1"/>
  <c r="F120" i="1"/>
  <c r="F118" i="1"/>
  <c r="E109" i="1"/>
  <c r="E107" i="1" s="1"/>
  <c r="E108" i="1" s="1"/>
  <c r="F108" i="1" s="1"/>
  <c r="D109" i="1"/>
  <c r="D107" i="1" s="1"/>
  <c r="D108" i="1" s="1"/>
  <c r="C109" i="1"/>
  <c r="C107" i="1" s="1"/>
  <c r="C108" i="1" s="1"/>
  <c r="E104" i="1"/>
  <c r="F104" i="1" s="1"/>
  <c r="D104" i="1"/>
  <c r="C104" i="1"/>
  <c r="E102" i="1"/>
  <c r="D102" i="1"/>
  <c r="F99" i="1"/>
  <c r="B97" i="1"/>
  <c r="E96" i="1"/>
  <c r="D96" i="1"/>
  <c r="C96" i="1"/>
  <c r="B96" i="1"/>
  <c r="H90" i="1"/>
  <c r="G90" i="1"/>
  <c r="F90" i="1"/>
  <c r="F89" i="1"/>
  <c r="H85" i="1"/>
  <c r="H86" i="1" s="1"/>
  <c r="G85" i="1"/>
  <c r="G86" i="1" s="1"/>
  <c r="F85" i="1"/>
  <c r="F86" i="1" s="1"/>
  <c r="B74" i="1"/>
  <c r="B73" i="1"/>
  <c r="E68" i="1"/>
  <c r="D68" i="1"/>
  <c r="F67" i="1"/>
  <c r="G67" i="1" s="1"/>
  <c r="H67" i="1" s="1"/>
  <c r="I67" i="1" s="1"/>
  <c r="J67" i="1" s="1"/>
  <c r="F64" i="1"/>
  <c r="G64" i="1" s="1"/>
  <c r="H64" i="1" s="1"/>
  <c r="I64" i="1" s="1"/>
  <c r="J64" i="1" s="1"/>
  <c r="F63" i="1"/>
  <c r="E61" i="1"/>
  <c r="D61" i="1"/>
  <c r="F59" i="1"/>
  <c r="G59" i="1" s="1"/>
  <c r="H58" i="1"/>
  <c r="I58" i="1" s="1"/>
  <c r="J58" i="1" s="1"/>
  <c r="G58" i="1"/>
  <c r="F58" i="1"/>
  <c r="F56" i="1"/>
  <c r="G56" i="1" s="1"/>
  <c r="E52" i="1"/>
  <c r="D52" i="1"/>
  <c r="D115" i="1" s="1"/>
  <c r="E48" i="1"/>
  <c r="D48" i="1"/>
  <c r="E47" i="1"/>
  <c r="D47" i="1"/>
  <c r="B47" i="1"/>
  <c r="E46" i="1"/>
  <c r="D46" i="1"/>
  <c r="B46" i="1"/>
  <c r="I43" i="1"/>
  <c r="J43" i="1" s="1"/>
  <c r="G42" i="1"/>
  <c r="F42" i="1"/>
  <c r="D42" i="1"/>
  <c r="C42" i="1"/>
  <c r="I41" i="1"/>
  <c r="H41" i="1"/>
  <c r="G41" i="1"/>
  <c r="F41" i="1"/>
  <c r="D41" i="1"/>
  <c r="C41" i="1"/>
  <c r="I40" i="1"/>
  <c r="H40" i="1"/>
  <c r="G40" i="1"/>
  <c r="F40" i="1"/>
  <c r="H39" i="1"/>
  <c r="D39" i="1"/>
  <c r="G27" i="1"/>
  <c r="H27" i="1" s="1"/>
  <c r="I27" i="1" s="1"/>
  <c r="J27" i="1" s="1"/>
  <c r="F27" i="1"/>
  <c r="J23" i="1"/>
  <c r="I23" i="1"/>
  <c r="H23" i="1"/>
  <c r="G23" i="1"/>
  <c r="F23" i="1"/>
  <c r="E21" i="1"/>
  <c r="D21" i="1"/>
  <c r="C21" i="1"/>
  <c r="E20" i="1"/>
  <c r="D20" i="1"/>
  <c r="C20" i="1"/>
  <c r="E19" i="1"/>
  <c r="D19" i="1"/>
  <c r="C19" i="1"/>
  <c r="E18" i="1"/>
  <c r="D18" i="1"/>
  <c r="C18" i="1"/>
  <c r="E16" i="1"/>
  <c r="E180" i="1" s="1"/>
  <c r="D16" i="1"/>
  <c r="D97" i="1" s="1"/>
  <c r="C16" i="1"/>
  <c r="C97" i="1" s="1"/>
  <c r="E15" i="1"/>
  <c r="F15" i="1" s="1"/>
  <c r="F46" i="1" s="1"/>
  <c r="D15" i="1"/>
  <c r="D179" i="1" s="1"/>
  <c r="C15" i="1"/>
  <c r="C179" i="1" s="1"/>
  <c r="B2" i="1"/>
  <c r="H56" i="1" l="1"/>
  <c r="J162" i="1"/>
  <c r="J156" i="1"/>
  <c r="J39" i="1" s="1"/>
  <c r="J164" i="1"/>
  <c r="G132" i="1"/>
  <c r="G88" i="1"/>
  <c r="H59" i="1"/>
  <c r="G104" i="1"/>
  <c r="F101" i="1"/>
  <c r="F102" i="1"/>
  <c r="D40" i="1"/>
  <c r="D24" i="1"/>
  <c r="D53" i="1"/>
  <c r="D70" i="1" s="1"/>
  <c r="F60" i="1"/>
  <c r="F57" i="1"/>
  <c r="G57" i="1" s="1"/>
  <c r="H57" i="1" s="1"/>
  <c r="F35" i="1"/>
  <c r="G49" i="1"/>
  <c r="E115" i="1"/>
  <c r="F112" i="1" s="1"/>
  <c r="E53" i="1"/>
  <c r="E70" i="1" s="1"/>
  <c r="F52" i="1"/>
  <c r="I90" i="1"/>
  <c r="J120" i="1"/>
  <c r="J90" i="1" s="1"/>
  <c r="F179" i="1"/>
  <c r="G15" i="1"/>
  <c r="F126" i="1"/>
  <c r="F154" i="1"/>
  <c r="F73" i="1"/>
  <c r="F96" i="1"/>
  <c r="C40" i="1"/>
  <c r="C24" i="1"/>
  <c r="F134" i="1"/>
  <c r="G133" i="1"/>
  <c r="J166" i="1"/>
  <c r="J168" i="1"/>
  <c r="J157" i="1"/>
  <c r="J40" i="1" s="1"/>
  <c r="F132" i="1"/>
  <c r="F88" i="1"/>
  <c r="F91" i="1" s="1"/>
  <c r="E40" i="1"/>
  <c r="E24" i="1"/>
  <c r="G108" i="1"/>
  <c r="I156" i="1"/>
  <c r="I39" i="1" s="1"/>
  <c r="I100" i="1" s="1"/>
  <c r="I162" i="1"/>
  <c r="I164" i="1"/>
  <c r="E41" i="1"/>
  <c r="E39" i="1"/>
  <c r="E42" i="1"/>
  <c r="F18" i="1"/>
  <c r="F107" i="1" s="1"/>
  <c r="F113" i="1" s="1"/>
  <c r="J175" i="1"/>
  <c r="C180" i="1"/>
  <c r="I170" i="1"/>
  <c r="I158" i="1"/>
  <c r="D180" i="1"/>
  <c r="E97" i="1"/>
  <c r="D133" i="1"/>
  <c r="C126" i="1"/>
  <c r="J171" i="1"/>
  <c r="F16" i="1"/>
  <c r="G121" i="1"/>
  <c r="G63" i="1"/>
  <c r="E179" i="1"/>
  <c r="F109" i="1" l="1"/>
  <c r="F33" i="1" s="1"/>
  <c r="F77" i="1" s="1"/>
  <c r="G52" i="1"/>
  <c r="F115" i="1"/>
  <c r="G99" i="1"/>
  <c r="F51" i="1"/>
  <c r="G89" i="1"/>
  <c r="G189" i="1"/>
  <c r="H121" i="1"/>
  <c r="E34" i="1"/>
  <c r="E36" i="1" s="1"/>
  <c r="E28" i="1"/>
  <c r="G91" i="1"/>
  <c r="J174" i="1"/>
  <c r="J159" i="1"/>
  <c r="J42" i="1" s="1"/>
  <c r="J176" i="1"/>
  <c r="F21" i="1"/>
  <c r="G18" i="1"/>
  <c r="F20" i="1"/>
  <c r="F22" i="1"/>
  <c r="G60" i="1"/>
  <c r="F82" i="1"/>
  <c r="G154" i="1"/>
  <c r="G96" i="1"/>
  <c r="G126" i="1"/>
  <c r="G73" i="1"/>
  <c r="G179" i="1"/>
  <c r="G46" i="1"/>
  <c r="H15" i="1"/>
  <c r="I85" i="1"/>
  <c r="I86" i="1" s="1"/>
  <c r="J100" i="1"/>
  <c r="J85" i="1" s="1"/>
  <c r="J86" i="1" s="1"/>
  <c r="F155" i="1"/>
  <c r="F180" i="1"/>
  <c r="F97" i="1"/>
  <c r="F47" i="1"/>
  <c r="G16" i="1"/>
  <c r="F127" i="1"/>
  <c r="F74" i="1"/>
  <c r="I57" i="1"/>
  <c r="J57" i="1" s="1"/>
  <c r="G134" i="1"/>
  <c r="H133" i="1"/>
  <c r="F129" i="1"/>
  <c r="F26" i="1"/>
  <c r="C28" i="1"/>
  <c r="C34" i="1"/>
  <c r="C36" i="1" s="1"/>
  <c r="H104" i="1"/>
  <c r="G101" i="1"/>
  <c r="H63" i="1"/>
  <c r="G107" i="1"/>
  <c r="G113" i="1" s="1"/>
  <c r="H108" i="1"/>
  <c r="H49" i="1"/>
  <c r="H132" i="1"/>
  <c r="H88" i="1"/>
  <c r="I59" i="1"/>
  <c r="F78" i="1"/>
  <c r="F190" i="1"/>
  <c r="G35" i="1"/>
  <c r="F65" i="1"/>
  <c r="J170" i="1"/>
  <c r="J158" i="1"/>
  <c r="J41" i="1"/>
  <c r="J172" i="1"/>
  <c r="I56" i="1"/>
  <c r="J56" i="1" s="1"/>
  <c r="D34" i="1"/>
  <c r="D36" i="1" s="1"/>
  <c r="D28" i="1"/>
  <c r="G65" i="1" l="1"/>
  <c r="E31" i="1"/>
  <c r="E43" i="1"/>
  <c r="G109" i="1"/>
  <c r="G33" i="1" s="1"/>
  <c r="G77" i="1" s="1"/>
  <c r="I104" i="1"/>
  <c r="H101" i="1"/>
  <c r="H60" i="1"/>
  <c r="G82" i="1"/>
  <c r="C43" i="1"/>
  <c r="C31" i="1"/>
  <c r="D43" i="1"/>
  <c r="D31" i="1"/>
  <c r="I63" i="1"/>
  <c r="I49" i="1"/>
  <c r="H134" i="1"/>
  <c r="I133" i="1"/>
  <c r="H96" i="1"/>
  <c r="H126" i="1"/>
  <c r="H154" i="1"/>
  <c r="H46" i="1"/>
  <c r="H73" i="1"/>
  <c r="H179" i="1"/>
  <c r="I15" i="1"/>
  <c r="F114" i="1"/>
  <c r="F81" i="1" s="1"/>
  <c r="G112" i="1"/>
  <c r="I108" i="1"/>
  <c r="H16" i="1"/>
  <c r="G180" i="1"/>
  <c r="G74" i="1"/>
  <c r="G127" i="1"/>
  <c r="G47" i="1"/>
  <c r="G155" i="1"/>
  <c r="G97" i="1"/>
  <c r="G78" i="1"/>
  <c r="H35" i="1"/>
  <c r="G190" i="1"/>
  <c r="G195" i="1" s="1"/>
  <c r="F183" i="1"/>
  <c r="F195" i="1"/>
  <c r="F196" i="1" s="1"/>
  <c r="H89" i="1"/>
  <c r="H91" i="1" s="1"/>
  <c r="H189" i="1"/>
  <c r="I121" i="1"/>
  <c r="I132" i="1"/>
  <c r="I88" i="1"/>
  <c r="J59" i="1"/>
  <c r="F24" i="1"/>
  <c r="F19" i="1"/>
  <c r="G22" i="1"/>
  <c r="G21" i="1"/>
  <c r="H18" i="1"/>
  <c r="G20" i="1"/>
  <c r="G102" i="1"/>
  <c r="G26" i="1"/>
  <c r="G129" i="1"/>
  <c r="H52" i="1"/>
  <c r="G115" i="1"/>
  <c r="J121" i="1" l="1"/>
  <c r="I89" i="1"/>
  <c r="I91" i="1" s="1"/>
  <c r="I189" i="1"/>
  <c r="F55" i="1"/>
  <c r="F50" i="1"/>
  <c r="I52" i="1"/>
  <c r="H115" i="1"/>
  <c r="C199" i="1"/>
  <c r="C182" i="1"/>
  <c r="C119" i="1"/>
  <c r="H99" i="1"/>
  <c r="H102" i="1" s="1"/>
  <c r="G51" i="1"/>
  <c r="G19" i="1"/>
  <c r="G24" i="1"/>
  <c r="H26" i="1"/>
  <c r="H129" i="1"/>
  <c r="J49" i="1"/>
  <c r="H78" i="1"/>
  <c r="I35" i="1"/>
  <c r="H190" i="1"/>
  <c r="H195" i="1" s="1"/>
  <c r="J63" i="1"/>
  <c r="H127" i="1"/>
  <c r="H180" i="1"/>
  <c r="H74" i="1"/>
  <c r="I16" i="1"/>
  <c r="H155" i="1"/>
  <c r="H97" i="1"/>
  <c r="H47" i="1"/>
  <c r="J133" i="1"/>
  <c r="J134" i="1" s="1"/>
  <c r="I134" i="1"/>
  <c r="I60" i="1"/>
  <c r="H82" i="1"/>
  <c r="H20" i="1"/>
  <c r="H22" i="1"/>
  <c r="H21" i="1"/>
  <c r="I18" i="1"/>
  <c r="I107" i="1" s="1"/>
  <c r="I113" i="1" s="1"/>
  <c r="G194" i="1"/>
  <c r="G196" i="1" s="1"/>
  <c r="F197" i="1"/>
  <c r="J108" i="1"/>
  <c r="F186" i="1"/>
  <c r="G183" i="1"/>
  <c r="H107" i="1"/>
  <c r="H113" i="1" s="1"/>
  <c r="J104" i="1"/>
  <c r="J101" i="1" s="1"/>
  <c r="I101" i="1"/>
  <c r="F34" i="1"/>
  <c r="F36" i="1" s="1"/>
  <c r="I126" i="1"/>
  <c r="I154" i="1"/>
  <c r="I96" i="1"/>
  <c r="I46" i="1"/>
  <c r="I179" i="1"/>
  <c r="I73" i="1"/>
  <c r="J15" i="1"/>
  <c r="E199" i="1"/>
  <c r="E200" i="1" s="1"/>
  <c r="E119" i="1"/>
  <c r="E182" i="1"/>
  <c r="G114" i="1"/>
  <c r="G81" i="1" s="1"/>
  <c r="H112" i="1"/>
  <c r="J88" i="1"/>
  <c r="J132" i="1"/>
  <c r="D199" i="1"/>
  <c r="D182" i="1"/>
  <c r="D119" i="1"/>
  <c r="H65" i="1"/>
  <c r="J154" i="1" l="1"/>
  <c r="J96" i="1"/>
  <c r="J46" i="1"/>
  <c r="J73" i="1"/>
  <c r="J179" i="1"/>
  <c r="J126" i="1"/>
  <c r="I82" i="1"/>
  <c r="J60" i="1"/>
  <c r="J82" i="1" s="1"/>
  <c r="C184" i="1"/>
  <c r="C187" i="1"/>
  <c r="I65" i="1"/>
  <c r="I190" i="1"/>
  <c r="I195" i="1" s="1"/>
  <c r="I78" i="1"/>
  <c r="J35" i="1"/>
  <c r="H109" i="1"/>
  <c r="H33" i="1" s="1"/>
  <c r="H77" i="1" s="1"/>
  <c r="G50" i="1"/>
  <c r="F79" i="1"/>
  <c r="G55" i="1"/>
  <c r="F80" i="1"/>
  <c r="F61" i="1"/>
  <c r="J91" i="1"/>
  <c r="J26" i="1"/>
  <c r="J129" i="1"/>
  <c r="J52" i="1"/>
  <c r="J115" i="1" s="1"/>
  <c r="I115" i="1"/>
  <c r="D200" i="1"/>
  <c r="H194" i="1"/>
  <c r="H196" i="1" s="1"/>
  <c r="G197" i="1"/>
  <c r="G34" i="1"/>
  <c r="G36" i="1" s="1"/>
  <c r="I109" i="1"/>
  <c r="I33" i="1" s="1"/>
  <c r="I77" i="1" s="1"/>
  <c r="J89" i="1"/>
  <c r="J189" i="1"/>
  <c r="G186" i="1"/>
  <c r="H183" i="1"/>
  <c r="I26" i="1"/>
  <c r="I129" i="1"/>
  <c r="H114" i="1"/>
  <c r="H81" i="1" s="1"/>
  <c r="I112" i="1"/>
  <c r="D184" i="1"/>
  <c r="D187" i="1"/>
  <c r="I180" i="1"/>
  <c r="I127" i="1"/>
  <c r="J16" i="1"/>
  <c r="I74" i="1"/>
  <c r="I97" i="1"/>
  <c r="I155" i="1"/>
  <c r="I47" i="1"/>
  <c r="I22" i="1"/>
  <c r="I20" i="1"/>
  <c r="I21" i="1"/>
  <c r="J18" i="1"/>
  <c r="J107" i="1" s="1"/>
  <c r="E187" i="1"/>
  <c r="E184" i="1"/>
  <c r="H24" i="1"/>
  <c r="H19" i="1"/>
  <c r="I99" i="1"/>
  <c r="I102" i="1" s="1"/>
  <c r="H51" i="1"/>
  <c r="J113" i="1" l="1"/>
  <c r="J109" i="1"/>
  <c r="J33" i="1" s="1"/>
  <c r="J77" i="1" s="1"/>
  <c r="J74" i="1"/>
  <c r="J97" i="1"/>
  <c r="J127" i="1"/>
  <c r="J180" i="1"/>
  <c r="J155" i="1"/>
  <c r="J47" i="1"/>
  <c r="J65" i="1"/>
  <c r="I194" i="1"/>
  <c r="I196" i="1" s="1"/>
  <c r="H197" i="1"/>
  <c r="J112" i="1"/>
  <c r="J114" i="1" s="1"/>
  <c r="J81" i="1" s="1"/>
  <c r="I114" i="1"/>
  <c r="I81" i="1" s="1"/>
  <c r="I183" i="1"/>
  <c r="H186" i="1"/>
  <c r="H34" i="1"/>
  <c r="H36" i="1" s="1"/>
  <c r="H55" i="1"/>
  <c r="G80" i="1"/>
  <c r="G61" i="1"/>
  <c r="J22" i="1"/>
  <c r="J20" i="1"/>
  <c r="J21" i="1"/>
  <c r="H50" i="1"/>
  <c r="G79" i="1"/>
  <c r="I24" i="1"/>
  <c r="I19" i="1"/>
  <c r="I51" i="1"/>
  <c r="J99" i="1"/>
  <c r="J102" i="1" s="1"/>
  <c r="J51" i="1" s="1"/>
  <c r="J190" i="1"/>
  <c r="J195" i="1" s="1"/>
  <c r="J78" i="1"/>
  <c r="J19" i="1" l="1"/>
  <c r="J24" i="1"/>
  <c r="J183" i="1"/>
  <c r="I186" i="1"/>
  <c r="I50" i="1"/>
  <c r="H79" i="1"/>
  <c r="I197" i="1"/>
  <c r="J194" i="1"/>
  <c r="J196" i="1" s="1"/>
  <c r="J197" i="1" s="1"/>
  <c r="I55" i="1"/>
  <c r="H80" i="1"/>
  <c r="H61" i="1"/>
  <c r="I34" i="1"/>
  <c r="I36" i="1" s="1"/>
  <c r="J55" i="1" l="1"/>
  <c r="I80" i="1"/>
  <c r="I61" i="1"/>
  <c r="J50" i="1"/>
  <c r="J79" i="1" s="1"/>
  <c r="I79" i="1"/>
  <c r="J186" i="1"/>
  <c r="J34" i="1"/>
  <c r="J36" i="1" s="1"/>
  <c r="J80" i="1" l="1"/>
  <c r="J61" i="1"/>
  <c r="F25" i="1" l="1"/>
  <c r="G25" i="1"/>
  <c r="H25" i="1"/>
  <c r="I25" i="1"/>
  <c r="J25" i="1"/>
  <c r="F28" i="1"/>
  <c r="G28" i="1"/>
  <c r="H28" i="1"/>
  <c r="I28" i="1"/>
  <c r="J28" i="1"/>
  <c r="F29" i="1"/>
  <c r="G29" i="1"/>
  <c r="H29" i="1"/>
  <c r="I29" i="1"/>
  <c r="J29" i="1"/>
  <c r="F31" i="1"/>
  <c r="G31" i="1"/>
  <c r="H31" i="1"/>
  <c r="I31" i="1"/>
  <c r="J31" i="1"/>
  <c r="F48" i="1"/>
  <c r="G48" i="1"/>
  <c r="H48" i="1"/>
  <c r="I48" i="1"/>
  <c r="J48" i="1"/>
  <c r="F53" i="1"/>
  <c r="G53" i="1"/>
  <c r="H53" i="1"/>
  <c r="I53" i="1"/>
  <c r="J53" i="1"/>
  <c r="F66" i="1"/>
  <c r="G66" i="1"/>
  <c r="H66" i="1"/>
  <c r="I66" i="1"/>
  <c r="J66" i="1"/>
  <c r="F68" i="1"/>
  <c r="G68" i="1"/>
  <c r="H68" i="1"/>
  <c r="I68" i="1"/>
  <c r="J68" i="1"/>
  <c r="F70" i="1"/>
  <c r="G70" i="1"/>
  <c r="H70" i="1"/>
  <c r="I70" i="1"/>
  <c r="J70" i="1"/>
  <c r="F76" i="1"/>
  <c r="G76" i="1"/>
  <c r="H76" i="1"/>
  <c r="I76" i="1"/>
  <c r="J76" i="1"/>
  <c r="F83" i="1"/>
  <c r="G83" i="1"/>
  <c r="H83" i="1"/>
  <c r="I83" i="1"/>
  <c r="J83" i="1"/>
  <c r="F93" i="1"/>
  <c r="G93" i="1"/>
  <c r="H93" i="1"/>
  <c r="I93" i="1"/>
  <c r="J93" i="1"/>
  <c r="G118" i="1"/>
  <c r="H118" i="1"/>
  <c r="I118" i="1"/>
  <c r="J118" i="1"/>
  <c r="F119" i="1"/>
  <c r="G119" i="1"/>
  <c r="H119" i="1"/>
  <c r="I119" i="1"/>
  <c r="J119" i="1"/>
  <c r="F122" i="1"/>
  <c r="G122" i="1"/>
  <c r="H122" i="1"/>
  <c r="I122" i="1"/>
  <c r="J122" i="1"/>
  <c r="F138" i="1"/>
  <c r="G138" i="1"/>
  <c r="H138" i="1"/>
  <c r="I138" i="1"/>
  <c r="J138" i="1"/>
  <c r="C144" i="1"/>
  <c r="F182" i="1"/>
  <c r="G182" i="1"/>
  <c r="H182" i="1"/>
  <c r="I182" i="1"/>
  <c r="J182" i="1"/>
  <c r="F184" i="1"/>
  <c r="G184" i="1"/>
  <c r="H184" i="1"/>
  <c r="I184" i="1"/>
  <c r="J184" i="1"/>
  <c r="F187" i="1"/>
  <c r="G187" i="1"/>
  <c r="H187" i="1"/>
  <c r="I187" i="1"/>
  <c r="J187" i="1"/>
  <c r="F199" i="1"/>
  <c r="G199" i="1"/>
  <c r="H199" i="1"/>
  <c r="I199" i="1"/>
  <c r="J199" i="1"/>
  <c r="F200" i="1"/>
  <c r="G200" i="1"/>
  <c r="H200" i="1"/>
  <c r="I200" i="1"/>
  <c r="J20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Amgad</author>
  </authors>
  <commentList>
    <comment ref="B19" authorId="0" shapeId="0" xr:uid="{619A3B30-A0CB-4662-9E12-8C276934060E}">
      <text>
        <r>
          <rPr>
            <b/>
            <sz val="9"/>
            <color indexed="81"/>
            <rFont val="Tahoma"/>
            <family val="2"/>
          </rPr>
          <t>Amgad:</t>
        </r>
        <r>
          <rPr>
            <sz val="9"/>
            <color indexed="81"/>
            <rFont val="Tahoma"/>
            <family val="2"/>
          </rPr>
          <t xml:space="preserve">
Includes Fulfilment costs
</t>
        </r>
      </text>
    </comment>
    <comment ref="B52" authorId="0" shapeId="0" xr:uid="{C76B2EE6-1F65-4E5A-8033-8780A57D99B2}">
      <text>
        <r>
          <rPr>
            <b/>
            <sz val="9"/>
            <color indexed="81"/>
            <rFont val="Tahoma"/>
            <family val="2"/>
          </rPr>
          <t>Amgad:</t>
        </r>
        <r>
          <rPr>
            <sz val="9"/>
            <color indexed="81"/>
            <rFont val="Tahoma"/>
            <family val="2"/>
          </rPr>
          <t xml:space="preserve">
Inlcudes Goodwill, Operating Leases among other assests</t>
        </r>
      </text>
    </comment>
    <comment ref="B58" authorId="0" shapeId="0" xr:uid="{A9C6A4C0-816A-4026-9EAC-8878E5F36DA3}">
      <text>
        <r>
          <rPr>
            <b/>
            <sz val="9"/>
            <color indexed="81"/>
            <rFont val="Tahoma"/>
            <family val="2"/>
          </rPr>
          <t>Amgad:</t>
        </r>
        <r>
          <rPr>
            <sz val="9"/>
            <color indexed="81"/>
            <rFont val="Tahoma"/>
            <family val="2"/>
          </rPr>
          <t xml:space="preserve">
Includes majority operating and minority financing leases. Operating lease expense kept embedded in opearting costs hence no interest forecast to avoid double counting.</t>
        </r>
      </text>
    </comment>
    <comment ref="B133" authorId="0" shapeId="0" xr:uid="{3D46ED69-154E-4961-AD77-82B358419354}">
      <text>
        <r>
          <rPr>
            <b/>
            <sz val="9"/>
            <color indexed="81"/>
            <rFont val="Tahoma"/>
            <family val="2"/>
          </rPr>
          <t>Amgad:</t>
        </r>
        <r>
          <rPr>
            <sz val="9"/>
            <color indexed="81"/>
            <rFont val="Tahoma"/>
            <family val="2"/>
          </rPr>
          <t xml:space="preserve">
We estimate this figure given that Amzn does not provide an explicit figure
</t>
        </r>
      </text>
    </comment>
    <comment ref="F191" authorId="0" shapeId="0" xr:uid="{2B49EFCF-C41D-4965-8FA6-1368F38DDC88}">
      <text>
        <r>
          <rPr>
            <b/>
            <sz val="9"/>
            <color indexed="81"/>
            <rFont val="Tahoma"/>
            <family val="2"/>
          </rPr>
          <t>Amgad:</t>
        </r>
        <r>
          <rPr>
            <sz val="9"/>
            <color indexed="81"/>
            <rFont val="Tahoma"/>
            <family val="2"/>
          </rPr>
          <t xml:space="preserve">
Based on spot price (current share price)
</t>
        </r>
      </text>
    </comment>
  </commentList>
</comments>
</file>

<file path=xl/sharedStrings.xml><?xml version="1.0" encoding="utf-8"?>
<sst xmlns="http://schemas.openxmlformats.org/spreadsheetml/2006/main" count="161" uniqueCount="128">
  <si>
    <t>Company name</t>
  </si>
  <si>
    <t>Amazon</t>
  </si>
  <si>
    <t>Ticker</t>
  </si>
  <si>
    <t>AMZN</t>
  </si>
  <si>
    <t>Circ break 1=off, 0=on</t>
  </si>
  <si>
    <t>Latest closing share price</t>
  </si>
  <si>
    <t>Latest closing share price date</t>
  </si>
  <si>
    <t>Latest fiscal year end date</t>
  </si>
  <si>
    <t>Shares outstanding (millions)</t>
  </si>
  <si>
    <t>Select an operating scenario:</t>
  </si>
  <si>
    <t>Base case</t>
  </si>
  <si>
    <t>INCOME STATEMENT</t>
  </si>
  <si>
    <t xml:space="preserve">Fiscal year  </t>
  </si>
  <si>
    <t>Fiscal year end date</t>
  </si>
  <si>
    <t>Revenue - products</t>
  </si>
  <si>
    <t xml:space="preserve">Cost of Sales </t>
  </si>
  <si>
    <t>Gross Profit</t>
  </si>
  <si>
    <t>Selling, general &amp; administrative</t>
  </si>
  <si>
    <t xml:space="preserve">R&amp;D: Technology and Infrastructure </t>
  </si>
  <si>
    <t>Other operating expense, net</t>
  </si>
  <si>
    <t>Operating profit (EBIT)</t>
  </si>
  <si>
    <t>Interest income</t>
  </si>
  <si>
    <t xml:space="preserve">Interest expense </t>
  </si>
  <si>
    <t>Other expense, net</t>
  </si>
  <si>
    <t>Pretax profit</t>
  </si>
  <si>
    <t xml:space="preserve">Taxes </t>
  </si>
  <si>
    <t>Equity method investment, net of tax</t>
  </si>
  <si>
    <t>Net income</t>
  </si>
  <si>
    <t>Depreciation &amp; amortization</t>
  </si>
  <si>
    <t>EBITDA</t>
  </si>
  <si>
    <t>Stock based compensation</t>
  </si>
  <si>
    <t>Adjusted EBITDA</t>
  </si>
  <si>
    <t>Growth rates &amp; margins</t>
  </si>
  <si>
    <t>Revenue growth</t>
  </si>
  <si>
    <t>Gross profit margin</t>
  </si>
  <si>
    <t xml:space="preserve">R&amp;D % of sales </t>
  </si>
  <si>
    <t>SG&amp;A % of sales</t>
  </si>
  <si>
    <t>Tax rate</t>
  </si>
  <si>
    <t>BALANCE SHEET</t>
  </si>
  <si>
    <t>Cash &amp; equivalents, ST and LT marketable securities</t>
  </si>
  <si>
    <t>Accounts receivable</t>
  </si>
  <si>
    <t>Inventories</t>
  </si>
  <si>
    <t>Property, plant &amp; equipment</t>
  </si>
  <si>
    <t>Other non current assets</t>
  </si>
  <si>
    <t>Total assets</t>
  </si>
  <si>
    <t>Accounts payable</t>
  </si>
  <si>
    <t>Other current liabilities</t>
  </si>
  <si>
    <t>Deferred revenue (current)</t>
  </si>
  <si>
    <t>Long term lease liabilities</t>
  </si>
  <si>
    <t>Long term debt (includes current portion)</t>
  </si>
  <si>
    <t>Other non current liabilities</t>
  </si>
  <si>
    <t>Total liabilities</t>
  </si>
  <si>
    <t>Common stock</t>
  </si>
  <si>
    <t xml:space="preserve">Treasury stock </t>
  </si>
  <si>
    <t>APIC</t>
  </si>
  <si>
    <t xml:space="preserve">Retained earnings </t>
  </si>
  <si>
    <t>Other comprehensive income</t>
  </si>
  <si>
    <t>Total equity</t>
  </si>
  <si>
    <t>Balance check</t>
  </si>
  <si>
    <t>CASH FLOW STATEMENT</t>
  </si>
  <si>
    <t>Depreciation and amortization</t>
  </si>
  <si>
    <t>Decreases / (Increases) in working capital assets</t>
  </si>
  <si>
    <t>Increases / (Decreases) in working capital liabilities</t>
  </si>
  <si>
    <t>Cash from operating activities</t>
  </si>
  <si>
    <t>Capital expenditures</t>
  </si>
  <si>
    <t>Cash from investing activities</t>
  </si>
  <si>
    <t>Long term debt</t>
  </si>
  <si>
    <t>Share repurchases</t>
  </si>
  <si>
    <t>Common dividends</t>
  </si>
  <si>
    <t>Cash from financing activities</t>
  </si>
  <si>
    <t>Net change in cash during period</t>
  </si>
  <si>
    <t>PROPERTY, PLANT &amp; EQUIPMENT</t>
  </si>
  <si>
    <t>Forecast</t>
  </si>
  <si>
    <t>Beginning of period</t>
  </si>
  <si>
    <t>Plus: Capital expenditures</t>
  </si>
  <si>
    <t>Less: Depreciation</t>
  </si>
  <si>
    <t>End of period</t>
  </si>
  <si>
    <t>Step</t>
  </si>
  <si>
    <t>D&amp;A related to PP&amp;E as a % of capex</t>
  </si>
  <si>
    <t>IMPUTING TOTAL DEPRECIATION &amp; AMORTIZATION</t>
  </si>
  <si>
    <r>
      <t xml:space="preserve">D&amp;A </t>
    </r>
    <r>
      <rPr>
        <u/>
        <sz val="11"/>
        <color theme="1"/>
        <rFont val="Aptos Narrow"/>
        <family val="2"/>
        <scheme val="minor"/>
      </rPr>
      <t>not</t>
    </r>
    <r>
      <rPr>
        <sz val="11"/>
        <color theme="1"/>
        <rFont val="Aptos Narrow"/>
        <family val="2"/>
        <scheme val="minor"/>
      </rPr>
      <t xml:space="preserve"> related to PP&amp;E</t>
    </r>
  </si>
  <si>
    <t>as % of revenue</t>
  </si>
  <si>
    <t xml:space="preserve">Depreciation &amp; Amortization - Total </t>
  </si>
  <si>
    <t>OTHER NON-CURRENT ASSETS</t>
  </si>
  <si>
    <t>Less: Amortization of intangible assets</t>
  </si>
  <si>
    <t xml:space="preserve">Plus: Additions </t>
  </si>
  <si>
    <t>RETAINED EARNINGS</t>
  </si>
  <si>
    <t>Plus: Net income</t>
  </si>
  <si>
    <t>Less: Dividends</t>
  </si>
  <si>
    <t>Less: Repurchases</t>
  </si>
  <si>
    <t>INTEREST EXPENSE AND INTEREST INCOME</t>
  </si>
  <si>
    <t>Total interest expense (from I/S)</t>
  </si>
  <si>
    <t>End of period balance (from B/S)</t>
  </si>
  <si>
    <t>Weighted average interest rate</t>
  </si>
  <si>
    <t>Interest rate on cash</t>
  </si>
  <si>
    <t>Weighted average interest rate on cash</t>
  </si>
  <si>
    <t>SENSITIVITY ANALYSIS</t>
  </si>
  <si>
    <t>First forecast year net income  sensitivity</t>
  </si>
  <si>
    <t>Revenue growth rate</t>
  </si>
  <si>
    <t>Gross</t>
  </si>
  <si>
    <t>Profit</t>
  </si>
  <si>
    <t>Margin:</t>
  </si>
  <si>
    <t>SCENARIO ANALYSIS</t>
  </si>
  <si>
    <t>Active case:</t>
  </si>
  <si>
    <t xml:space="preserve">Variance from </t>
  </si>
  <si>
    <t>base case</t>
  </si>
  <si>
    <t>R&amp;D % of sales</t>
  </si>
  <si>
    <t>Best case</t>
  </si>
  <si>
    <t>NM</t>
  </si>
  <si>
    <t>Weak case</t>
  </si>
  <si>
    <t>EARNINGS PER SHARE</t>
  </si>
  <si>
    <t xml:space="preserve">Basic shares </t>
  </si>
  <si>
    <t>Basic EPS</t>
  </si>
  <si>
    <t>Diluted Shares</t>
  </si>
  <si>
    <t>Diluted EPS</t>
  </si>
  <si>
    <t>$ amount of shares repurchased</t>
  </si>
  <si>
    <t>$ amount of new shares issued</t>
  </si>
  <si>
    <t>Average share price</t>
  </si>
  <si>
    <t>Share price increase</t>
  </si>
  <si>
    <t>Alternative method for calculating weighted average basic shares</t>
  </si>
  <si>
    <t>Basic Shares - BOP</t>
  </si>
  <si>
    <t>Reference from latest share count &gt;</t>
  </si>
  <si>
    <t>Net change in basic shares</t>
  </si>
  <si>
    <t>Basic shares - EOP</t>
  </si>
  <si>
    <t>Basic shares - average</t>
  </si>
  <si>
    <t>Alternative method for estimating share price growth</t>
  </si>
  <si>
    <t>yoy % growth in net income</t>
  </si>
  <si>
    <t xml:space="preserve">$ and shares in millions, except per share data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</si>
</sst>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_(#,##0_)_%;\(#,##0\)_%;_(&quot;–&quot;_)_%;_(@_)_%"/>
    <numFmt numFmtId="165" formatCode="&quot;$&quot;#,##0.00_);[Red]\(&quot;$&quot;#,##0.00\)"/>
    <numFmt numFmtId="166" formatCode="m/d/yy;@"/>
    <numFmt numFmtId="167" formatCode="#,##0.000_);\(#,##0.000\)"/>
    <numFmt numFmtId="168" formatCode="0\A;[Red]0\A"/>
    <numFmt numFmtId="169" formatCode="0\P_);\(0\P\)"/>
    <numFmt numFmtId="170" formatCode="0.0%"/>
    <numFmt numFmtId="171" formatCode="0.0%_);\(0.0%\);@_)"/>
    <numFmt numFmtId="172" formatCode="_(#,##0.0%_);\(#,##0.0%\);_(&quot;–&quot;_)_%;_(@_)_%"/>
    <numFmt numFmtId="173" formatCode="_(#,##0.00%_);\(#,##0.00%\);_(&quot;–&quot;_)_%;_(@_)_%"/>
    <numFmt numFmtId="174" formatCode="0.00%_);\(0.00%\);@_)"/>
    <numFmt numFmtId="175" formatCode="&quot;$&quot;#,##0_);\(&quot;$&quot;#,##0\)"/>
    <numFmt numFmtId="176" formatCode="0.0%;\(0.0%\)"/>
    <numFmt numFmtId="177" formatCode="0.0%;\ \(0.0%\)"/>
    <numFmt numFmtId="178" formatCode="#,##0_);\(#,##0\);@_)"/>
    <numFmt numFmtId="179" formatCode="0%_);\(0%\);@_)"/>
    <numFmt numFmtId="180" formatCode="&quot;$&quot;#,##0.00_);\(&quot;$&quot;#,##0.00\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9"/>
      <color rgb="FF008000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11"/>
      <color rgb="FF000000"/>
      <name val="Times New Roman"/>
      <family val="1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i/>
      <sz val="9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CE5CD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C9DAF8"/>
        <bgColor rgb="FF000000"/>
      </patternFill>
    </fill>
  </fills>
  <borders count="19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3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4" fillId="0" borderId="0" xfId="0" applyFont="1"/>
    <xf numFmtId="0" fontId="5" fillId="0" borderId="0" xfId="0" applyFont="1" applyAlignment="1">
      <alignment horizontal="center"/>
    </xf>
    <xf numFmtId="37" fontId="5" fillId="0" borderId="0" xfId="0" applyNumberFormat="1" applyFont="1"/>
    <xf numFmtId="164" fontId="5" fillId="2" borderId="3" xfId="0" applyNumberFormat="1" applyFont="1" applyFill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center"/>
    </xf>
    <xf numFmtId="0" fontId="2" fillId="0" borderId="0" xfId="0" applyFont="1"/>
    <xf numFmtId="0" fontId="2" fillId="0" borderId="4" xfId="0" applyFont="1" applyBorder="1"/>
    <xf numFmtId="0" fontId="0" fillId="0" borderId="4" xfId="0" applyBorder="1"/>
    <xf numFmtId="168" fontId="2" fillId="0" borderId="0" xfId="0" applyNumberFormat="1" applyFont="1"/>
    <xf numFmtId="169" fontId="2" fillId="0" borderId="0" xfId="0" applyNumberFormat="1" applyFont="1"/>
    <xf numFmtId="0" fontId="6" fillId="0" borderId="4" xfId="0" applyFont="1" applyBorder="1"/>
    <xf numFmtId="166" fontId="6" fillId="0" borderId="5" xfId="0" applyNumberFormat="1" applyFont="1" applyBorder="1"/>
    <xf numFmtId="0" fontId="6" fillId="0" borderId="0" xfId="0" applyFont="1"/>
    <xf numFmtId="166" fontId="7" fillId="0" borderId="0" xfId="0" applyNumberFormat="1" applyFont="1"/>
    <xf numFmtId="166" fontId="6" fillId="0" borderId="0" xfId="0" applyNumberFormat="1" applyFont="1"/>
    <xf numFmtId="9" fontId="6" fillId="0" borderId="0" xfId="0" applyNumberFormat="1" applyFont="1"/>
    <xf numFmtId="170" fontId="6" fillId="0" borderId="0" xfId="0" applyNumberFormat="1" applyFont="1"/>
    <xf numFmtId="37" fontId="4" fillId="0" borderId="0" xfId="0" applyNumberFormat="1" applyFont="1"/>
    <xf numFmtId="37" fontId="8" fillId="0" borderId="0" xfId="0" applyNumberFormat="1" applyFont="1"/>
    <xf numFmtId="0" fontId="0" fillId="0" borderId="0" xfId="0" quotePrefix="1"/>
    <xf numFmtId="37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4" fontId="0" fillId="0" borderId="0" xfId="0" applyNumberFormat="1"/>
    <xf numFmtId="0" fontId="9" fillId="0" borderId="0" xfId="0" applyFont="1"/>
    <xf numFmtId="171" fontId="4" fillId="0" borderId="0" xfId="0" applyNumberFormat="1" applyFont="1"/>
    <xf numFmtId="171" fontId="5" fillId="0" borderId="0" xfId="0" applyNumberFormat="1" applyFont="1"/>
    <xf numFmtId="166" fontId="6" fillId="0" borderId="4" xfId="0" applyNumberFormat="1" applyFont="1" applyBorder="1"/>
    <xf numFmtId="14" fontId="6" fillId="0" borderId="0" xfId="0" applyNumberFormat="1" applyFont="1"/>
    <xf numFmtId="168" fontId="8" fillId="0" borderId="0" xfId="0" applyNumberFormat="1" applyFont="1"/>
    <xf numFmtId="169" fontId="8" fillId="0" borderId="0" xfId="0" applyNumberFormat="1" applyFont="1"/>
    <xf numFmtId="166" fontId="3" fillId="0" borderId="4" xfId="0" applyNumberFormat="1" applyFont="1" applyBorder="1"/>
    <xf numFmtId="37" fontId="2" fillId="0" borderId="0" xfId="0" applyNumberFormat="1" applyFont="1"/>
    <xf numFmtId="37" fontId="6" fillId="0" borderId="0" xfId="0" applyNumberFormat="1" applyFont="1"/>
    <xf numFmtId="3" fontId="0" fillId="0" borderId="0" xfId="0" applyNumberFormat="1"/>
    <xf numFmtId="0" fontId="2" fillId="0" borderId="6" xfId="0" applyFont="1" applyBorder="1" applyAlignment="1">
      <alignment horizontal="centerContinuous"/>
    </xf>
    <xf numFmtId="0" fontId="0" fillId="0" borderId="0" xfId="0" quotePrefix="1" applyAlignment="1">
      <alignment horizontal="left" indent="1"/>
    </xf>
    <xf numFmtId="0" fontId="0" fillId="0" borderId="7" xfId="0" quotePrefix="1" applyBorder="1" applyAlignment="1">
      <alignment horizontal="left" indent="1"/>
    </xf>
    <xf numFmtId="37" fontId="5" fillId="0" borderId="7" xfId="0" applyNumberFormat="1" applyFont="1" applyBorder="1"/>
    <xf numFmtId="37" fontId="0" fillId="0" borderId="7" xfId="0" applyNumberFormat="1" applyBorder="1"/>
    <xf numFmtId="0" fontId="2" fillId="0" borderId="0" xfId="0" applyFont="1" applyAlignment="1">
      <alignment horizontal="left" indent="1"/>
    </xf>
    <xf numFmtId="171" fontId="0" fillId="0" borderId="0" xfId="0" applyNumberFormat="1"/>
    <xf numFmtId="172" fontId="5" fillId="3" borderId="0" xfId="0" applyNumberFormat="1" applyFont="1" applyFill="1"/>
    <xf numFmtId="164" fontId="0" fillId="0" borderId="0" xfId="0" applyNumberFormat="1"/>
    <xf numFmtId="0" fontId="2" fillId="0" borderId="4" xfId="0" applyFont="1" applyBorder="1" applyAlignment="1">
      <alignment horizontal="left"/>
    </xf>
    <xf numFmtId="171" fontId="0" fillId="0" borderId="4" xfId="0" applyNumberFormat="1" applyBorder="1"/>
    <xf numFmtId="171" fontId="4" fillId="0" borderId="4" xfId="0" applyNumberFormat="1" applyFont="1" applyBorder="1"/>
    <xf numFmtId="172" fontId="0" fillId="0" borderId="0" xfId="0" applyNumberFormat="1"/>
    <xf numFmtId="37" fontId="2" fillId="0" borderId="4" xfId="0" applyNumberFormat="1" applyFont="1" applyBorder="1"/>
    <xf numFmtId="37" fontId="4" fillId="0" borderId="6" xfId="0" applyNumberFormat="1" applyFont="1" applyBorder="1"/>
    <xf numFmtId="0" fontId="0" fillId="0" borderId="7" xfId="0" applyBorder="1" applyAlignment="1">
      <alignment horizontal="left" indent="1"/>
    </xf>
    <xf numFmtId="0" fontId="0" fillId="0" borderId="7" xfId="0" applyBorder="1"/>
    <xf numFmtId="37" fontId="4" fillId="0" borderId="7" xfId="0" applyNumberFormat="1" applyFont="1" applyBorder="1"/>
    <xf numFmtId="37" fontId="2" fillId="0" borderId="4" xfId="0" applyNumberFormat="1" applyFont="1" applyBorder="1" applyAlignment="1">
      <alignment horizontal="left"/>
    </xf>
    <xf numFmtId="0" fontId="10" fillId="0" borderId="0" xfId="0" applyFont="1" applyAlignment="1">
      <alignment horizontal="center"/>
    </xf>
    <xf numFmtId="37" fontId="11" fillId="0" borderId="0" xfId="0" applyNumberFormat="1" applyFont="1" applyAlignment="1">
      <alignment horizontal="right"/>
    </xf>
    <xf numFmtId="9" fontId="5" fillId="0" borderId="4" xfId="0" applyNumberFormat="1" applyFont="1" applyBorder="1"/>
    <xf numFmtId="3" fontId="12" fillId="0" borderId="0" xfId="0" applyNumberFormat="1" applyFont="1"/>
    <xf numFmtId="37" fontId="0" fillId="0" borderId="6" xfId="0" applyNumberFormat="1" applyBorder="1"/>
    <xf numFmtId="0" fontId="0" fillId="0" borderId="0" xfId="0" applyAlignment="1">
      <alignment horizontal="left" indent="2"/>
    </xf>
    <xf numFmtId="0" fontId="13" fillId="0" borderId="0" xfId="0" applyFont="1" applyAlignment="1">
      <alignment horizontal="left"/>
    </xf>
    <xf numFmtId="173" fontId="14" fillId="0" borderId="0" xfId="0" applyNumberFormat="1" applyFont="1"/>
    <xf numFmtId="0" fontId="9" fillId="0" borderId="0" xfId="0" applyFont="1" applyAlignment="1">
      <alignment horizontal="left" indent="1"/>
    </xf>
    <xf numFmtId="10" fontId="5" fillId="0" borderId="0" xfId="0" applyNumberFormat="1" applyFont="1"/>
    <xf numFmtId="174" fontId="5" fillId="0" borderId="0" xfId="0" applyNumberFormat="1" applyFont="1"/>
    <xf numFmtId="173" fontId="4" fillId="0" borderId="0" xfId="0" applyNumberFormat="1" applyFont="1"/>
    <xf numFmtId="37" fontId="4" fillId="0" borderId="0" xfId="0" applyNumberFormat="1" applyFont="1" applyAlignment="1">
      <alignment horizontal="left" indent="1"/>
    </xf>
    <xf numFmtId="169" fontId="2" fillId="0" borderId="8" xfId="0" applyNumberFormat="1" applyFont="1" applyBorder="1"/>
    <xf numFmtId="0" fontId="0" fillId="0" borderId="8" xfId="0" applyBorder="1"/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175" fontId="4" fillId="3" borderId="9" xfId="0" applyNumberFormat="1" applyFont="1" applyFill="1" applyBorder="1"/>
    <xf numFmtId="176" fontId="5" fillId="3" borderId="10" xfId="0" applyNumberFormat="1" applyFont="1" applyFill="1" applyBorder="1"/>
    <xf numFmtId="0" fontId="0" fillId="0" borderId="0" xfId="0" applyAlignment="1">
      <alignment horizontal="right"/>
    </xf>
    <xf numFmtId="177" fontId="5" fillId="3" borderId="11" xfId="0" applyNumberFormat="1" applyFont="1" applyFill="1" applyBorder="1"/>
    <xf numFmtId="178" fontId="0" fillId="3" borderId="0" xfId="0" applyNumberFormat="1" applyFill="1"/>
    <xf numFmtId="0" fontId="2" fillId="0" borderId="0" xfId="0" applyFont="1" applyAlignment="1">
      <alignment horizontal="right"/>
    </xf>
    <xf numFmtId="0" fontId="2" fillId="0" borderId="12" xfId="0" applyFont="1" applyBorder="1"/>
    <xf numFmtId="0" fontId="15" fillId="0" borderId="13" xfId="0" applyFont="1" applyBorder="1" applyAlignment="1">
      <alignment horizontal="center"/>
    </xf>
    <xf numFmtId="0" fontId="0" fillId="0" borderId="14" xfId="0" applyBorder="1"/>
    <xf numFmtId="0" fontId="15" fillId="0" borderId="15" xfId="0" applyFont="1" applyBorder="1" applyAlignment="1">
      <alignment horizontal="center"/>
    </xf>
    <xf numFmtId="171" fontId="0" fillId="3" borderId="16" xfId="0" applyNumberFormat="1" applyFill="1" applyBorder="1" applyAlignment="1">
      <alignment horizontal="center"/>
    </xf>
    <xf numFmtId="171" fontId="0" fillId="3" borderId="0" xfId="0" applyNumberFormat="1" applyFill="1"/>
    <xf numFmtId="172" fontId="3" fillId="0" borderId="0" xfId="0" applyNumberFormat="1" applyFont="1"/>
    <xf numFmtId="0" fontId="0" fillId="0" borderId="16" xfId="0" applyBorder="1"/>
    <xf numFmtId="172" fontId="5" fillId="0" borderId="16" xfId="0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179" fontId="0" fillId="0" borderId="0" xfId="0" applyNumberFormat="1"/>
    <xf numFmtId="172" fontId="5" fillId="0" borderId="17" xfId="0" applyNumberFormat="1" applyFont="1" applyBorder="1" applyAlignment="1">
      <alignment horizontal="center"/>
    </xf>
    <xf numFmtId="37" fontId="0" fillId="3" borderId="0" xfId="0" applyNumberFormat="1" applyFill="1"/>
    <xf numFmtId="37" fontId="5" fillId="3" borderId="0" xfId="0" applyNumberFormat="1" applyFont="1" applyFill="1"/>
    <xf numFmtId="180" fontId="8" fillId="3" borderId="0" xfId="0" applyNumberFormat="1" applyFont="1" applyFill="1"/>
    <xf numFmtId="165" fontId="0" fillId="0" borderId="0" xfId="0" applyNumberFormat="1"/>
    <xf numFmtId="37" fontId="4" fillId="4" borderId="0" xfId="0" applyNumberFormat="1" applyFont="1" applyFill="1"/>
    <xf numFmtId="165" fontId="5" fillId="3" borderId="0" xfId="0" applyNumberFormat="1" applyFont="1" applyFill="1"/>
    <xf numFmtId="165" fontId="0" fillId="3" borderId="0" xfId="0" applyNumberFormat="1" applyFill="1"/>
    <xf numFmtId="9" fontId="5" fillId="0" borderId="0" xfId="0" applyNumberFormat="1" applyFont="1"/>
    <xf numFmtId="0" fontId="2" fillId="0" borderId="8" xfId="0" applyFont="1" applyBorder="1"/>
    <xf numFmtId="37" fontId="2" fillId="3" borderId="18" xfId="0" applyNumberFormat="1" applyFont="1" applyFill="1" applyBorder="1"/>
    <xf numFmtId="37" fontId="2" fillId="3" borderId="0" xfId="0" applyNumberFormat="1" applyFont="1" applyFill="1"/>
    <xf numFmtId="172" fontId="4" fillId="3" borderId="0" xfId="0" applyNumberFormat="1" applyFont="1" applyFill="1"/>
    <xf numFmtId="172" fontId="0" fillId="3" borderId="0" xfId="0" applyNumberFormat="1" applyFill="1"/>
    <xf numFmtId="9" fontId="0" fillId="0" borderId="0" xfId="1" applyFont="1"/>
    <xf numFmtId="9" fontId="0" fillId="0" borderId="0" xfId="0" applyNumberFormat="1"/>
    <xf numFmtId="0" fontId="18" fillId="0" borderId="2" xfId="0" applyFont="1" applyBorder="1"/>
  </cellXfs>
  <cellStyles count="2">
    <cellStyle name="Normal" xfId="0" builtinId="0"/>
    <cellStyle name="Per cent" xfId="1" builtinId="5"/>
  </cellStyles>
  <dxfs count="10">
    <dxf>
      <fill>
        <patternFill>
          <bgColor theme="8"/>
        </patternFill>
      </fill>
      <border>
        <left/>
        <right/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8"/>
        </patternFill>
      </fill>
      <border>
        <left/>
        <right/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8"/>
        </patternFill>
      </fill>
      <border>
        <left/>
        <right/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  <border>
        <left/>
        <right/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8"/>
        </patternFill>
      </fill>
      <border>
        <left/>
        <right/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8"/>
        </patternFill>
      </fill>
      <border>
        <left/>
        <right/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8"/>
        </patternFill>
      </fill>
      <border>
        <left/>
        <right/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8"/>
        </patternFill>
      </fill>
      <border>
        <left/>
        <right/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8"/>
        </patternFill>
      </fill>
      <border>
        <left/>
        <right/>
        <top style="thin">
          <color rgb="FF9C0006"/>
        </top>
        <bottom style="thin">
          <color rgb="FF9C0006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EDD16-CFD2-43C6-B37D-4D840576BCD1}">
  <sheetPr>
    <tabColor theme="5" tint="0.39997558519241921"/>
  </sheetPr>
  <dimension ref="B1:S203"/>
  <sheetViews>
    <sheetView tabSelected="1" zoomScaleNormal="100" workbookViewId="0"/>
  </sheetViews>
  <sheetFormatPr defaultColWidth="8.85546875" defaultRowHeight="15" x14ac:dyDescent="0.25"/>
  <cols>
    <col min="1" max="1" width="1.42578125" customWidth="1"/>
    <col min="2" max="2" width="46.7109375" bestFit="1" customWidth="1"/>
    <col min="3" max="3" width="13.28515625" bestFit="1" customWidth="1"/>
    <col min="4" max="10" width="11.42578125" customWidth="1"/>
    <col min="11" max="11" width="1.7109375" customWidth="1"/>
    <col min="12" max="12" width="11.42578125" customWidth="1"/>
    <col min="13" max="13" width="11.85546875" customWidth="1"/>
    <col min="14" max="16" width="10.28515625" bestFit="1" customWidth="1"/>
    <col min="17" max="18" width="9.42578125" bestFit="1" customWidth="1"/>
  </cols>
  <sheetData>
    <row r="1" spans="2:10" ht="15.75" thickBot="1" x14ac:dyDescent="0.3"/>
    <row r="2" spans="2:10" ht="15.75" thickBot="1" x14ac:dyDescent="0.3">
      <c r="B2" s="1" t="str">
        <f>"Financial Statement Model for "&amp;C5</f>
        <v>Financial Statement Model for Amazon</v>
      </c>
      <c r="C2" s="2"/>
      <c r="D2" s="2"/>
      <c r="E2" s="2"/>
      <c r="F2" s="2"/>
      <c r="G2" s="2"/>
      <c r="H2" s="2"/>
      <c r="I2" s="2"/>
      <c r="J2" s="2"/>
    </row>
    <row r="3" spans="2:10" x14ac:dyDescent="0.25">
      <c r="B3" s="112" t="s">
        <v>127</v>
      </c>
      <c r="C3" s="3"/>
      <c r="D3" s="3"/>
      <c r="E3" s="3"/>
      <c r="F3" s="3"/>
      <c r="G3" s="3"/>
    </row>
    <row r="5" spans="2:10" x14ac:dyDescent="0.25">
      <c r="B5" s="4" t="s">
        <v>0</v>
      </c>
      <c r="C5" s="5" t="s">
        <v>1</v>
      </c>
    </row>
    <row r="6" spans="2:10" x14ac:dyDescent="0.25">
      <c r="B6" s="4" t="s">
        <v>2</v>
      </c>
      <c r="C6" s="5" t="s">
        <v>3</v>
      </c>
      <c r="E6" s="6"/>
      <c r="F6" s="6"/>
      <c r="G6" s="6"/>
    </row>
    <row r="7" spans="2:10" x14ac:dyDescent="0.25">
      <c r="B7" t="s">
        <v>4</v>
      </c>
      <c r="C7" s="7">
        <v>1</v>
      </c>
    </row>
    <row r="8" spans="2:10" x14ac:dyDescent="0.25">
      <c r="B8" t="s">
        <v>5</v>
      </c>
      <c r="C8" s="8">
        <v>198.79</v>
      </c>
    </row>
    <row r="9" spans="2:10" x14ac:dyDescent="0.25">
      <c r="B9" t="s">
        <v>6</v>
      </c>
      <c r="C9" s="9">
        <v>46066</v>
      </c>
    </row>
    <row r="10" spans="2:10" x14ac:dyDescent="0.25">
      <c r="B10" s="4" t="s">
        <v>7</v>
      </c>
      <c r="C10" s="10">
        <v>46022</v>
      </c>
    </row>
    <row r="11" spans="2:10" ht="15" customHeight="1" x14ac:dyDescent="0.25">
      <c r="B11" t="s">
        <v>8</v>
      </c>
      <c r="C11" s="11">
        <v>10734.92087</v>
      </c>
    </row>
    <row r="12" spans="2:10" x14ac:dyDescent="0.25">
      <c r="B12" t="s">
        <v>9</v>
      </c>
      <c r="C12" s="7" t="s">
        <v>10</v>
      </c>
    </row>
    <row r="13" spans="2:10" x14ac:dyDescent="0.25">
      <c r="B13" s="12"/>
      <c r="C13" s="12"/>
    </row>
    <row r="14" spans="2:10" x14ac:dyDescent="0.25">
      <c r="B14" s="13" t="s">
        <v>11</v>
      </c>
      <c r="C14" s="14"/>
      <c r="D14" s="14"/>
      <c r="E14" s="14"/>
      <c r="F14" s="14"/>
      <c r="G14" s="14"/>
      <c r="H14" s="14"/>
      <c r="I14" s="14"/>
      <c r="J14" s="14"/>
    </row>
    <row r="15" spans="2:10" x14ac:dyDescent="0.25">
      <c r="B15" t="s">
        <v>12</v>
      </c>
      <c r="C15" s="15">
        <f>D15-1</f>
        <v>2023</v>
      </c>
      <c r="D15" s="15">
        <f>E15-1</f>
        <v>2024</v>
      </c>
      <c r="E15" s="15">
        <f>YEAR(C10)</f>
        <v>2025</v>
      </c>
      <c r="F15" s="16">
        <f>E15+1</f>
        <v>2026</v>
      </c>
      <c r="G15" s="16">
        <f>F15+1</f>
        <v>2027</v>
      </c>
      <c r="H15" s="16">
        <f>G15+1</f>
        <v>2028</v>
      </c>
      <c r="I15" s="16">
        <f>H15+1</f>
        <v>2029</v>
      </c>
      <c r="J15" s="16">
        <f>I15+1</f>
        <v>2030</v>
      </c>
    </row>
    <row r="16" spans="2:10" x14ac:dyDescent="0.25">
      <c r="B16" s="17" t="s">
        <v>13</v>
      </c>
      <c r="C16" s="18">
        <f>EOMONTH(D16,-12)</f>
        <v>45291</v>
      </c>
      <c r="D16" s="18">
        <f>EOMONTH(E16,-12)</f>
        <v>45657</v>
      </c>
      <c r="E16" s="18">
        <f>C10</f>
        <v>46022</v>
      </c>
      <c r="F16" s="18">
        <f>EOMONTH(E16,12)</f>
        <v>46387</v>
      </c>
      <c r="G16" s="18">
        <f>EOMONTH(F16,12)</f>
        <v>46752</v>
      </c>
      <c r="H16" s="18">
        <f>EOMONTH(G16,12)</f>
        <v>47118</v>
      </c>
      <c r="I16" s="18">
        <f>EOMONTH(H16,12)</f>
        <v>47483</v>
      </c>
      <c r="J16" s="18">
        <f>EOMONTH(I16,12)</f>
        <v>47848</v>
      </c>
    </row>
    <row r="17" spans="2:13" x14ac:dyDescent="0.25">
      <c r="B17" s="19"/>
      <c r="C17" s="20"/>
      <c r="D17" s="21"/>
      <c r="E17" s="21"/>
      <c r="F17" s="22"/>
      <c r="G17" s="23"/>
      <c r="H17" s="23"/>
      <c r="I17" s="21"/>
      <c r="J17" s="21"/>
    </row>
    <row r="18" spans="2:13" ht="15" customHeight="1" x14ac:dyDescent="0.25">
      <c r="B18" t="s">
        <v>14</v>
      </c>
      <c r="C18" s="6">
        <f>255887+318898</f>
        <v>574785</v>
      </c>
      <c r="D18" s="6">
        <f>272311+365648</f>
        <v>637959</v>
      </c>
      <c r="E18" s="6">
        <f>296266+420658</f>
        <v>716924</v>
      </c>
      <c r="F18" s="24">
        <f ca="1">E18*(1+F39)</f>
        <v>805056.42799816001</v>
      </c>
      <c r="G18" s="24">
        <f ca="1">F18*(1+G39)</f>
        <v>895555.17988476728</v>
      </c>
      <c r="H18" s="24">
        <f ca="1">G18*(1+H39)</f>
        <v>1009191.8184382734</v>
      </c>
      <c r="I18" s="24">
        <f ca="1">H18*(1+I39)</f>
        <v>1137247.7646031785</v>
      </c>
      <c r="J18" s="24">
        <f ca="1">I18*(1+J39)</f>
        <v>1281552.6785545698</v>
      </c>
    </row>
    <row r="19" spans="2:13" x14ac:dyDescent="0.25">
      <c r="B19" t="s">
        <v>15</v>
      </c>
      <c r="C19" s="6">
        <f>-304739-90619</f>
        <v>-395358</v>
      </c>
      <c r="D19" s="6">
        <f>-326288-98505</f>
        <v>-424793</v>
      </c>
      <c r="E19" s="6">
        <f>-356414-109074</f>
        <v>-465488</v>
      </c>
      <c r="F19" s="24">
        <f ca="1">F20-F18</f>
        <v>-522481.62177080585</v>
      </c>
      <c r="G19" s="24">
        <f ca="1">G20-G18</f>
        <v>-573155.31512625108</v>
      </c>
      <c r="H19" s="24">
        <f ca="1">H20-H18</f>
        <v>-635790.84561611223</v>
      </c>
      <c r="I19" s="24">
        <f ca="1">I20-I18</f>
        <v>-716466.09170000243</v>
      </c>
      <c r="J19" s="24">
        <f ca="1">J20-J18</f>
        <v>-807378.18748937896</v>
      </c>
    </row>
    <row r="20" spans="2:13" x14ac:dyDescent="0.25">
      <c r="B20" s="12" t="s">
        <v>16</v>
      </c>
      <c r="C20" s="25">
        <f>SUM(C18:C19)</f>
        <v>179427</v>
      </c>
      <c r="D20" s="25">
        <f>SUM(D18:D19)</f>
        <v>213166</v>
      </c>
      <c r="E20" s="25">
        <f>SUM(E18:E19)</f>
        <v>251436</v>
      </c>
      <c r="F20" s="25">
        <f ca="1">F18*F40</f>
        <v>282574.80622735416</v>
      </c>
      <c r="G20" s="25">
        <f t="shared" ref="G20:J20" ca="1" si="0">G18*G40</f>
        <v>322399.8647585162</v>
      </c>
      <c r="H20" s="25">
        <f t="shared" ca="1" si="0"/>
        <v>373400.97282216116</v>
      </c>
      <c r="I20" s="25">
        <f t="shared" ca="1" si="0"/>
        <v>420781.67290317605</v>
      </c>
      <c r="J20" s="25">
        <f t="shared" ca="1" si="0"/>
        <v>474174.49106519081</v>
      </c>
      <c r="L20" s="26"/>
    </row>
    <row r="21" spans="2:13" x14ac:dyDescent="0.25">
      <c r="B21" t="s">
        <v>17</v>
      </c>
      <c r="C21" s="6">
        <f>-44370-11816</f>
        <v>-56186</v>
      </c>
      <c r="D21" s="6">
        <f>-43907-11359</f>
        <v>-55266</v>
      </c>
      <c r="E21" s="6">
        <f>-47129-11172</f>
        <v>-58301</v>
      </c>
      <c r="F21" s="24">
        <f ca="1">-F18*F42</f>
        <v>-61140.999847967803</v>
      </c>
      <c r="G21" s="24">
        <f ca="1">-G18*G42</f>
        <v>-66852.999991397897</v>
      </c>
      <c r="H21" s="24">
        <f ca="1">-H18*H42</f>
        <v>-66852.999896544832</v>
      </c>
      <c r="I21" s="24">
        <f ca="1">-I18*I42</f>
        <v>-75335.95031221745</v>
      </c>
      <c r="J21" s="24">
        <f ca="1">-J18*J42</f>
        <v>-84895.298912954589</v>
      </c>
      <c r="L21" s="26"/>
    </row>
    <row r="22" spans="2:13" x14ac:dyDescent="0.25">
      <c r="B22" t="s">
        <v>18</v>
      </c>
      <c r="C22" s="6">
        <v>-85622</v>
      </c>
      <c r="D22" s="6">
        <v>-88544</v>
      </c>
      <c r="E22" s="6">
        <v>-108521</v>
      </c>
      <c r="F22" s="24">
        <f ca="1">F18*F41*-1</f>
        <v>-120758.464199724</v>
      </c>
      <c r="G22" s="24">
        <f t="shared" ref="G22:J22" ca="1" si="1">G18*G41*-1</f>
        <v>-138811.05288213893</v>
      </c>
      <c r="H22" s="24">
        <f t="shared" ca="1" si="1"/>
        <v>-158443.11549480891</v>
      </c>
      <c r="I22" s="24">
        <f t="shared" ca="1" si="1"/>
        <v>-178547.89904269902</v>
      </c>
      <c r="J22" s="24">
        <f t="shared" ca="1" si="1"/>
        <v>-201203.77053306747</v>
      </c>
      <c r="L22" s="26"/>
    </row>
    <row r="23" spans="2:13" x14ac:dyDescent="0.25">
      <c r="B23" t="s">
        <v>19</v>
      </c>
      <c r="C23" s="6">
        <v>-767</v>
      </c>
      <c r="D23" s="6">
        <v>-763</v>
      </c>
      <c r="E23" s="6">
        <v>-4639</v>
      </c>
      <c r="F23" s="27">
        <f>$D$23</f>
        <v>-763</v>
      </c>
      <c r="G23" s="27">
        <f t="shared" ref="G23:J23" si="2">$D$23</f>
        <v>-763</v>
      </c>
      <c r="H23" s="27">
        <f t="shared" si="2"/>
        <v>-763</v>
      </c>
      <c r="I23" s="27">
        <f t="shared" si="2"/>
        <v>-763</v>
      </c>
      <c r="J23" s="27">
        <f t="shared" si="2"/>
        <v>-763</v>
      </c>
    </row>
    <row r="24" spans="2:13" x14ac:dyDescent="0.25">
      <c r="B24" s="12" t="s">
        <v>20</v>
      </c>
      <c r="C24" s="25">
        <f>SUM(C20:C23)</f>
        <v>36852</v>
      </c>
      <c r="D24" s="25">
        <f t="shared" ref="D24:J24" si="3">SUM(D20:D23)</f>
        <v>68593</v>
      </c>
      <c r="E24" s="25">
        <f t="shared" si="3"/>
        <v>79975</v>
      </c>
      <c r="F24" s="25">
        <f t="shared" ca="1" si="3"/>
        <v>99912.342179662344</v>
      </c>
      <c r="G24" s="25">
        <f t="shared" ca="1" si="3"/>
        <v>115972.81188497937</v>
      </c>
      <c r="H24" s="25">
        <f t="shared" ca="1" si="3"/>
        <v>147341.8574308074</v>
      </c>
      <c r="I24" s="25">
        <f t="shared" ca="1" si="3"/>
        <v>166134.82354825956</v>
      </c>
      <c r="J24" s="25">
        <f t="shared" ca="1" si="3"/>
        <v>187312.42161916877</v>
      </c>
      <c r="L24" s="12"/>
    </row>
    <row r="25" spans="2:13" x14ac:dyDescent="0.25">
      <c r="B25" t="s">
        <v>21</v>
      </c>
      <c r="C25" s="6">
        <v>2949</v>
      </c>
      <c r="D25" s="6">
        <v>4677</v>
      </c>
      <c r="E25" s="6">
        <v>4381</v>
      </c>
      <c r="F25" s="27">
        <f ca="1">F138</f>
        <v>3512.4978350330844</v>
      </c>
      <c r="G25" s="27">
        <f t="shared" ref="G25:J25" ca="1" si="4">G138</f>
        <v>3399.5168323577755</v>
      </c>
      <c r="H25" s="27">
        <f t="shared" ca="1" si="4"/>
        <v>3823.6780458298358</v>
      </c>
      <c r="I25" s="27">
        <f t="shared" ca="1" si="4"/>
        <v>4665.8362501462043</v>
      </c>
      <c r="J25" s="27">
        <f t="shared" ca="1" si="4"/>
        <v>5755.9661263274547</v>
      </c>
    </row>
    <row r="26" spans="2:13" x14ac:dyDescent="0.25">
      <c r="B26" t="s">
        <v>22</v>
      </c>
      <c r="C26" s="6">
        <v>-3182</v>
      </c>
      <c r="D26" s="6">
        <v>-2406</v>
      </c>
      <c r="E26" s="6">
        <v>-2274</v>
      </c>
      <c r="F26" s="27">
        <f>F134</f>
        <v>-2524.4320585773353</v>
      </c>
      <c r="G26" s="27">
        <f t="shared" ref="G26:J26" si="5">G134</f>
        <v>-2524.4320585773353</v>
      </c>
      <c r="H26" s="27">
        <f t="shared" si="5"/>
        <v>-2524.4320585773353</v>
      </c>
      <c r="I26" s="27">
        <f t="shared" si="5"/>
        <v>-2524.4320585773353</v>
      </c>
      <c r="J26" s="27">
        <f t="shared" si="5"/>
        <v>-2524.4320585773353</v>
      </c>
    </row>
    <row r="27" spans="2:13" x14ac:dyDescent="0.25">
      <c r="B27" t="s">
        <v>23</v>
      </c>
      <c r="C27" s="6">
        <v>938</v>
      </c>
      <c r="D27" s="6">
        <v>-2250</v>
      </c>
      <c r="E27" s="6">
        <v>15229</v>
      </c>
      <c r="F27" s="27">
        <f>E27</f>
        <v>15229</v>
      </c>
      <c r="G27" s="27">
        <f>F27</f>
        <v>15229</v>
      </c>
      <c r="H27" s="27">
        <f>G27</f>
        <v>15229</v>
      </c>
      <c r="I27" s="27">
        <f>H27</f>
        <v>15229</v>
      </c>
      <c r="J27" s="27">
        <f>I27</f>
        <v>15229</v>
      </c>
    </row>
    <row r="28" spans="2:13" x14ac:dyDescent="0.25">
      <c r="B28" s="12" t="s">
        <v>24</v>
      </c>
      <c r="C28" s="25">
        <f t="shared" ref="C28:J28" si="6">SUM(C24:C27)</f>
        <v>37557</v>
      </c>
      <c r="D28" s="25">
        <f t="shared" si="6"/>
        <v>68614</v>
      </c>
      <c r="E28" s="25">
        <f t="shared" si="6"/>
        <v>97311</v>
      </c>
      <c r="F28" s="25">
        <f t="shared" ca="1" si="6"/>
        <v>116129.40795611808</v>
      </c>
      <c r="G28" s="25">
        <f t="shared" ca="1" si="6"/>
        <v>132076.8966587598</v>
      </c>
      <c r="H28" s="25">
        <f t="shared" ca="1" si="6"/>
        <v>163870.10341805991</v>
      </c>
      <c r="I28" s="25">
        <f t="shared" ca="1" si="6"/>
        <v>183505.22773982844</v>
      </c>
      <c r="J28" s="25">
        <f t="shared" ca="1" si="6"/>
        <v>205772.9556869189</v>
      </c>
      <c r="L28" s="12"/>
      <c r="M28" s="12"/>
    </row>
    <row r="29" spans="2:13" x14ac:dyDescent="0.25">
      <c r="B29" t="s">
        <v>25</v>
      </c>
      <c r="C29" s="6">
        <v>-7120</v>
      </c>
      <c r="D29" s="6">
        <v>-9265</v>
      </c>
      <c r="E29" s="6">
        <v>-19087</v>
      </c>
      <c r="F29" s="24">
        <f ca="1">-F43*F28</f>
        <v>-21530.392235064293</v>
      </c>
      <c r="G29" s="24">
        <f ca="1">-G43*G28</f>
        <v>-24764.418123517462</v>
      </c>
      <c r="H29" s="24">
        <f ca="1">-H43*H28</f>
        <v>-30479.839235759144</v>
      </c>
      <c r="I29" s="24">
        <f ca="1">-I43*I28</f>
        <v>-34131.972359608088</v>
      </c>
      <c r="J29" s="24">
        <f ca="1">-J43*J28</f>
        <v>-38273.769757766917</v>
      </c>
    </row>
    <row r="30" spans="2:13" x14ac:dyDescent="0.25">
      <c r="B30" t="s">
        <v>26</v>
      </c>
      <c r="C30" s="6">
        <v>-12</v>
      </c>
      <c r="D30" s="6">
        <v>-101</v>
      </c>
      <c r="E30" s="6">
        <v>-554</v>
      </c>
      <c r="F30" s="24"/>
      <c r="G30" s="24"/>
      <c r="H30" s="24"/>
      <c r="I30" s="24"/>
      <c r="J30" s="24"/>
    </row>
    <row r="31" spans="2:13" x14ac:dyDescent="0.25">
      <c r="B31" s="12" t="s">
        <v>27</v>
      </c>
      <c r="C31" s="25">
        <f>SUM(C28:C30)</f>
        <v>30425</v>
      </c>
      <c r="D31" s="25">
        <f>SUM(D28:D30)</f>
        <v>59248</v>
      </c>
      <c r="E31" s="25">
        <f>SUM(E28:E30)</f>
        <v>77670</v>
      </c>
      <c r="F31" s="25">
        <f t="shared" ref="F31:J31" ca="1" si="7">SUM(F28:F30)</f>
        <v>94599.015721053787</v>
      </c>
      <c r="G31" s="25">
        <f t="shared" ca="1" si="7"/>
        <v>107312.47853524234</v>
      </c>
      <c r="H31" s="25">
        <f t="shared" ca="1" si="7"/>
        <v>133390.26418230077</v>
      </c>
      <c r="I31" s="25">
        <f t="shared" ca="1" si="7"/>
        <v>149373.25538022036</v>
      </c>
      <c r="J31" s="25">
        <f t="shared" ca="1" si="7"/>
        <v>167499.18592915198</v>
      </c>
      <c r="L31" s="12"/>
    </row>
    <row r="32" spans="2:13" x14ac:dyDescent="0.25">
      <c r="B32" s="28"/>
      <c r="C32" s="27"/>
      <c r="D32" s="27"/>
      <c r="E32" s="27"/>
      <c r="F32" s="27"/>
      <c r="G32" s="27"/>
      <c r="H32" s="27"/>
      <c r="I32" s="27"/>
      <c r="J32" s="27"/>
    </row>
    <row r="33" spans="2:19" x14ac:dyDescent="0.25">
      <c r="B33" s="29" t="s">
        <v>28</v>
      </c>
      <c r="C33" s="6">
        <v>48663</v>
      </c>
      <c r="D33" s="6">
        <v>52795</v>
      </c>
      <c r="E33" s="6">
        <v>65756</v>
      </c>
      <c r="F33" s="27">
        <f ca="1">F109</f>
        <v>86990.258017268876</v>
      </c>
      <c r="G33" s="27">
        <f ca="1">G109</f>
        <v>94008.777083406385</v>
      </c>
      <c r="H33" s="27">
        <f ca="1">H109</f>
        <v>107411.24738941563</v>
      </c>
      <c r="I33" s="27">
        <f ca="1">I109</f>
        <v>125444.2652907657</v>
      </c>
      <c r="J33" s="27">
        <f ca="1">J109</f>
        <v>146324.26271365149</v>
      </c>
    </row>
    <row r="34" spans="2:19" x14ac:dyDescent="0.25">
      <c r="B34" s="30" t="s">
        <v>29</v>
      </c>
      <c r="C34" s="25">
        <f t="shared" ref="C34:J34" si="8">C24+C33</f>
        <v>85515</v>
      </c>
      <c r="D34" s="25">
        <f t="shared" si="8"/>
        <v>121388</v>
      </c>
      <c r="E34" s="25">
        <f t="shared" si="8"/>
        <v>145731</v>
      </c>
      <c r="F34" s="25">
        <f t="shared" ca="1" si="8"/>
        <v>186902.60019693122</v>
      </c>
      <c r="G34" s="25">
        <f t="shared" ca="1" si="8"/>
        <v>209981.58896838577</v>
      </c>
      <c r="H34" s="25">
        <f t="shared" ca="1" si="8"/>
        <v>254753.10482022303</v>
      </c>
      <c r="I34" s="25">
        <f t="shared" ca="1" si="8"/>
        <v>291579.08883902524</v>
      </c>
      <c r="J34" s="25">
        <f t="shared" ca="1" si="8"/>
        <v>333636.68433282024</v>
      </c>
      <c r="L34" s="12"/>
    </row>
    <row r="35" spans="2:19" x14ac:dyDescent="0.25">
      <c r="B35" s="29" t="s">
        <v>30</v>
      </c>
      <c r="C35" s="6">
        <v>24023</v>
      </c>
      <c r="D35" s="6">
        <v>22011</v>
      </c>
      <c r="E35" s="6">
        <v>19467</v>
      </c>
      <c r="F35" s="27">
        <f ca="1">E35*(1+F39)</f>
        <v>21860.104395779999</v>
      </c>
      <c r="G35" s="27">
        <f ca="1">F35*(1+G39)</f>
        <v>24317.462781015511</v>
      </c>
      <c r="H35" s="27">
        <f ca="1">G35*(1+H39)</f>
        <v>27403.095906313454</v>
      </c>
      <c r="I35" s="27">
        <f ca="1">H35*(1+I39)</f>
        <v>30880.263784627205</v>
      </c>
      <c r="J35" s="27">
        <f ca="1">I35*(1+J39)</f>
        <v>34798.648104153035</v>
      </c>
    </row>
    <row r="36" spans="2:19" x14ac:dyDescent="0.25">
      <c r="B36" s="30" t="s">
        <v>31</v>
      </c>
      <c r="C36" s="25">
        <f t="shared" ref="C36:J36" si="9">SUM(C34:C35)</f>
        <v>109538</v>
      </c>
      <c r="D36" s="25">
        <f t="shared" si="9"/>
        <v>143399</v>
      </c>
      <c r="E36" s="25">
        <f>SUM(E34:E35)</f>
        <v>165198</v>
      </c>
      <c r="F36" s="25">
        <f t="shared" ca="1" si="9"/>
        <v>208762.70459271123</v>
      </c>
      <c r="G36" s="25">
        <f t="shared" ca="1" si="9"/>
        <v>234299.05174940129</v>
      </c>
      <c r="H36" s="25">
        <f t="shared" ca="1" si="9"/>
        <v>282156.20072653651</v>
      </c>
      <c r="I36" s="25">
        <f t="shared" ca="1" si="9"/>
        <v>322459.35262365243</v>
      </c>
      <c r="J36" s="25">
        <f t="shared" ca="1" si="9"/>
        <v>368435.33243697329</v>
      </c>
      <c r="L36" s="12"/>
    </row>
    <row r="37" spans="2:19" x14ac:dyDescent="0.25">
      <c r="B37" s="28"/>
      <c r="F37" s="31"/>
    </row>
    <row r="38" spans="2:19" x14ac:dyDescent="0.25">
      <c r="B38" s="32" t="s">
        <v>32</v>
      </c>
    </row>
    <row r="39" spans="2:19" x14ac:dyDescent="0.25">
      <c r="B39" s="28" t="s">
        <v>33</v>
      </c>
      <c r="C39" s="33"/>
      <c r="D39" s="33">
        <f>D18/C18-1</f>
        <v>0.1099089224666614</v>
      </c>
      <c r="E39" s="33">
        <f>E18/D18-1</f>
        <v>0.12377754683294695</v>
      </c>
      <c r="F39" s="33">
        <f t="shared" ref="F39:J40" ca="1" si="10">F156</f>
        <v>0.12293134</v>
      </c>
      <c r="G39" s="33">
        <f t="shared" ca="1" si="10"/>
        <v>0.11241292999999999</v>
      </c>
      <c r="H39" s="33">
        <f t="shared" ca="1" si="10"/>
        <v>0.12688959999999999</v>
      </c>
      <c r="I39" s="33">
        <f t="shared" ca="1" si="10"/>
        <v>0.12688959999999999</v>
      </c>
      <c r="J39" s="33">
        <f t="shared" ca="1" si="10"/>
        <v>0.12688959999999999</v>
      </c>
      <c r="N39" s="34"/>
      <c r="O39" s="34"/>
      <c r="P39" s="34"/>
      <c r="Q39" s="34"/>
      <c r="R39" s="34"/>
      <c r="S39" s="34"/>
    </row>
    <row r="40" spans="2:19" x14ac:dyDescent="0.25">
      <c r="B40" s="28" t="s">
        <v>34</v>
      </c>
      <c r="C40" s="33">
        <f>C20/C18</f>
        <v>0.31216367859286515</v>
      </c>
      <c r="D40" s="33">
        <f>D20/D18</f>
        <v>0.33413746024431035</v>
      </c>
      <c r="E40" s="33">
        <f>E20/E18</f>
        <v>0.35071499907940035</v>
      </c>
      <c r="F40" s="33">
        <f t="shared" ca="1" si="10"/>
        <v>0.35099999999999998</v>
      </c>
      <c r="G40" s="33">
        <f t="shared" ca="1" si="10"/>
        <v>0.36</v>
      </c>
      <c r="H40" s="33">
        <f t="shared" ca="1" si="10"/>
        <v>0.37</v>
      </c>
      <c r="I40" s="33">
        <f t="shared" ca="1" si="10"/>
        <v>0.37</v>
      </c>
      <c r="J40" s="33">
        <f t="shared" ca="1" si="10"/>
        <v>0.37</v>
      </c>
      <c r="N40" s="34"/>
      <c r="O40" s="34"/>
      <c r="P40" s="34"/>
      <c r="Q40" s="34"/>
      <c r="R40" s="34"/>
      <c r="S40" s="34"/>
    </row>
    <row r="41" spans="2:19" x14ac:dyDescent="0.25">
      <c r="B41" s="28" t="s">
        <v>35</v>
      </c>
      <c r="C41" s="33">
        <f>C22/C18*-1</f>
        <v>0.14896352549214054</v>
      </c>
      <c r="D41" s="33">
        <f t="shared" ref="D41:E41" si="11">D22/D18*-1</f>
        <v>0.13879261833440706</v>
      </c>
      <c r="E41" s="33">
        <f t="shared" si="11"/>
        <v>0.15137029866485149</v>
      </c>
      <c r="F41" s="33">
        <f>F171</f>
        <v>0.15</v>
      </c>
      <c r="G41" s="33">
        <f t="shared" ref="G41:J41" si="12">G171</f>
        <v>0.155</v>
      </c>
      <c r="H41" s="33">
        <f t="shared" si="12"/>
        <v>0.157</v>
      </c>
      <c r="I41" s="33">
        <f t="shared" si="12"/>
        <v>0.157</v>
      </c>
      <c r="J41" s="33">
        <f t="shared" si="12"/>
        <v>0.157</v>
      </c>
      <c r="N41" s="34"/>
      <c r="O41" s="34"/>
      <c r="P41" s="34"/>
      <c r="Q41" s="34"/>
      <c r="R41" s="34"/>
      <c r="S41" s="34"/>
    </row>
    <row r="42" spans="2:19" x14ac:dyDescent="0.25">
      <c r="B42" s="28" t="s">
        <v>36</v>
      </c>
      <c r="C42" s="33">
        <f>C21/C18*-1</f>
        <v>9.7751333107161803E-2</v>
      </c>
      <c r="D42" s="33">
        <f>D21/D18*-1</f>
        <v>8.6629391543970688E-2</v>
      </c>
      <c r="E42" s="33">
        <f>E21/E18*-1</f>
        <v>8.132103263386356E-2</v>
      </c>
      <c r="F42" s="33">
        <f ca="1">F159</f>
        <v>7.5946229011548919E-2</v>
      </c>
      <c r="G42" s="33">
        <f ca="1">G159</f>
        <v>7.4649783165789962E-2</v>
      </c>
      <c r="H42" s="33">
        <f ca="1">H159</f>
        <v>6.6244096191742818E-2</v>
      </c>
      <c r="I42" s="33">
        <f ca="1">I159</f>
        <v>6.6244096191742818E-2</v>
      </c>
      <c r="J42" s="33">
        <f ca="1">J159</f>
        <v>6.6244096191742818E-2</v>
      </c>
      <c r="N42" s="34"/>
      <c r="O42" s="34"/>
      <c r="P42" s="34"/>
      <c r="Q42" s="34"/>
      <c r="R42" s="34"/>
      <c r="S42" s="34"/>
    </row>
    <row r="43" spans="2:19" x14ac:dyDescent="0.25">
      <c r="B43" s="28" t="s">
        <v>37</v>
      </c>
      <c r="C43" s="33">
        <f>-C29/C28</f>
        <v>0.18957850733551668</v>
      </c>
      <c r="D43" s="33">
        <f t="shared" ref="D43:E43" si="13">-D29/D28</f>
        <v>0.13503075174162707</v>
      </c>
      <c r="E43" s="33">
        <f t="shared" si="13"/>
        <v>0.19614432078593375</v>
      </c>
      <c r="F43" s="34">
        <v>0.18540000000000001</v>
      </c>
      <c r="G43" s="34">
        <v>0.1875</v>
      </c>
      <c r="H43" s="34">
        <v>0.186</v>
      </c>
      <c r="I43" s="33">
        <f>H43</f>
        <v>0.186</v>
      </c>
      <c r="J43" s="33">
        <f>I43</f>
        <v>0.186</v>
      </c>
      <c r="N43" s="34"/>
      <c r="O43" s="34"/>
      <c r="P43" s="34"/>
      <c r="Q43" s="34"/>
      <c r="R43" s="34"/>
      <c r="S43" s="34"/>
    </row>
    <row r="44" spans="2:19" x14ac:dyDescent="0.25">
      <c r="B44" s="28"/>
      <c r="F44" s="31"/>
    </row>
    <row r="45" spans="2:19" x14ac:dyDescent="0.25">
      <c r="B45" s="13" t="s">
        <v>38</v>
      </c>
      <c r="C45" s="35"/>
      <c r="D45" s="35"/>
      <c r="E45" s="35"/>
      <c r="F45" s="14"/>
      <c r="G45" s="14"/>
      <c r="H45" s="14"/>
      <c r="I45" s="14"/>
      <c r="J45" s="14"/>
    </row>
    <row r="46" spans="2:19" x14ac:dyDescent="0.25">
      <c r="B46" s="36" t="str">
        <f>B15</f>
        <v xml:space="preserve">Fiscal year  </v>
      </c>
      <c r="C46" s="37"/>
      <c r="D46" s="37">
        <f t="shared" ref="D46:J47" si="14">D15</f>
        <v>2024</v>
      </c>
      <c r="E46" s="37">
        <f t="shared" si="14"/>
        <v>2025</v>
      </c>
      <c r="F46" s="38">
        <f t="shared" si="14"/>
        <v>2026</v>
      </c>
      <c r="G46" s="38">
        <f t="shared" si="14"/>
        <v>2027</v>
      </c>
      <c r="H46" s="38">
        <f t="shared" si="14"/>
        <v>2028</v>
      </c>
      <c r="I46" s="38">
        <f t="shared" si="14"/>
        <v>2029</v>
      </c>
      <c r="J46" s="38">
        <f t="shared" si="14"/>
        <v>2030</v>
      </c>
    </row>
    <row r="47" spans="2:19" x14ac:dyDescent="0.25">
      <c r="B47" s="14" t="str">
        <f>B16</f>
        <v>Fiscal year end date</v>
      </c>
      <c r="C47" s="39"/>
      <c r="D47" s="39">
        <f t="shared" si="14"/>
        <v>45657</v>
      </c>
      <c r="E47" s="39">
        <f t="shared" si="14"/>
        <v>46022</v>
      </c>
      <c r="F47" s="39">
        <f t="shared" si="14"/>
        <v>46387</v>
      </c>
      <c r="G47" s="39">
        <f t="shared" si="14"/>
        <v>46752</v>
      </c>
      <c r="H47" s="39">
        <f t="shared" si="14"/>
        <v>47118</v>
      </c>
      <c r="I47" s="39">
        <f t="shared" si="14"/>
        <v>47483</v>
      </c>
      <c r="J47" s="39">
        <f t="shared" si="14"/>
        <v>47848</v>
      </c>
    </row>
    <row r="48" spans="2:19" x14ac:dyDescent="0.25">
      <c r="B48" t="s">
        <v>39</v>
      </c>
      <c r="C48" s="6"/>
      <c r="D48" s="6">
        <f>78779+22423</f>
        <v>101202</v>
      </c>
      <c r="E48" s="6">
        <f>86810+36219</f>
        <v>123029</v>
      </c>
      <c r="F48" s="27">
        <f ca="1">F93+E48</f>
        <v>111137.52233553896</v>
      </c>
      <c r="G48" s="27">
        <f ca="1">G93+F48</f>
        <v>115496.9331549794</v>
      </c>
      <c r="H48" s="27">
        <f ca="1">H93+G48</f>
        <v>139414.93656700966</v>
      </c>
      <c r="I48" s="27">
        <f ca="1">I93+H48</f>
        <v>171640.81344273736</v>
      </c>
      <c r="J48" s="27">
        <f ca="1">J93+I48</f>
        <v>212090.26164575969</v>
      </c>
    </row>
    <row r="49" spans="2:10" x14ac:dyDescent="0.25">
      <c r="B49" t="s">
        <v>40</v>
      </c>
      <c r="C49" s="6"/>
      <c r="D49" s="6">
        <v>55451</v>
      </c>
      <c r="E49" s="6">
        <v>67729</v>
      </c>
      <c r="F49" s="27">
        <f ca="1">E49*(1+F39)</f>
        <v>76055.016726860005</v>
      </c>
      <c r="G49" s="27">
        <f ca="1">F49*(1+G39)</f>
        <v>84604.583998325354</v>
      </c>
      <c r="H49" s="27">
        <f ca="1">G49*(1+H39)</f>
        <v>95340.025820039256</v>
      </c>
      <c r="I49" s="27">
        <f ca="1">H49*(1+I39)</f>
        <v>107437.68356033371</v>
      </c>
      <c r="J49" s="27">
        <f ca="1">I49*(1+J39)</f>
        <v>121070.40825223102</v>
      </c>
    </row>
    <row r="50" spans="2:10" x14ac:dyDescent="0.25">
      <c r="B50" t="s">
        <v>41</v>
      </c>
      <c r="C50" s="6"/>
      <c r="D50" s="6">
        <v>34214</v>
      </c>
      <c r="E50" s="6">
        <v>38325</v>
      </c>
      <c r="F50" s="27">
        <f ca="1">E50*F19/E19</f>
        <v>43017.452983462805</v>
      </c>
      <c r="G50" s="27">
        <f ca="1">F50*G19/F19</f>
        <v>47189.567619817426</v>
      </c>
      <c r="H50" s="27">
        <f ca="1">G50*H19/G19</f>
        <v>52346.535588967927</v>
      </c>
      <c r="I50" s="27">
        <f ca="1">H50*I19/H19</f>
        <v>58988.76655123783</v>
      </c>
      <c r="J50" s="27">
        <f ca="1">I50*J19/I19</f>
        <v>66473.827543417778</v>
      </c>
    </row>
    <row r="51" spans="2:10" x14ac:dyDescent="0.25">
      <c r="B51" t="s">
        <v>42</v>
      </c>
      <c r="C51" s="6"/>
      <c r="D51" s="6">
        <v>252665</v>
      </c>
      <c r="E51" s="6">
        <v>357025</v>
      </c>
      <c r="F51" s="27">
        <f>F102</f>
        <v>475008.41202977113</v>
      </c>
      <c r="G51" s="27">
        <f>G102</f>
        <v>590223.80563593714</v>
      </c>
      <c r="H51" s="27">
        <f>H102</f>
        <v>711783.40417917748</v>
      </c>
      <c r="I51" s="27">
        <f ca="1">I102</f>
        <v>844364.00387312414</v>
      </c>
      <c r="J51" s="27">
        <f ca="1">J102</f>
        <v>988805.27805214899</v>
      </c>
    </row>
    <row r="52" spans="2:10" x14ac:dyDescent="0.25">
      <c r="B52" t="s">
        <v>43</v>
      </c>
      <c r="C52" s="6"/>
      <c r="D52" s="6">
        <f>76141+23074+82147</f>
        <v>181362</v>
      </c>
      <c r="E52" s="6">
        <f>86054+23273+122607</f>
        <v>231934</v>
      </c>
      <c r="F52" s="27">
        <f ca="1">E52*(1+F39)</f>
        <v>260445.95741156003</v>
      </c>
      <c r="G52" s="27">
        <f ca="1">F52*(1+G39)</f>
        <v>289723.45059084875</v>
      </c>
      <c r="H52" s="27">
        <f ca="1">G52*(1+H39)</f>
        <v>326486.34334694128</v>
      </c>
      <c r="I52" s="27">
        <f ca="1">H52*(1+I39)</f>
        <v>367914.0648596973</v>
      </c>
      <c r="J52" s="27">
        <f ca="1">I52*(1+J39)</f>
        <v>414598.53338411835</v>
      </c>
    </row>
    <row r="53" spans="2:10" x14ac:dyDescent="0.25">
      <c r="B53" s="30" t="s">
        <v>44</v>
      </c>
      <c r="C53" s="25"/>
      <c r="D53" s="25">
        <f t="shared" ref="D53:J53" si="15">SUM(D48:D52)</f>
        <v>624894</v>
      </c>
      <c r="E53" s="25">
        <f t="shared" si="15"/>
        <v>818042</v>
      </c>
      <c r="F53" s="40">
        <f t="shared" ca="1" si="15"/>
        <v>965664.36148719292</v>
      </c>
      <c r="G53" s="40">
        <f t="shared" ca="1" si="15"/>
        <v>1127238.340999908</v>
      </c>
      <c r="H53" s="40">
        <f t="shared" ca="1" si="15"/>
        <v>1325371.2455021357</v>
      </c>
      <c r="I53" s="40">
        <f t="shared" ca="1" si="15"/>
        <v>1550345.3322871304</v>
      </c>
      <c r="J53" s="40">
        <f t="shared" ca="1" si="15"/>
        <v>1803038.3088776758</v>
      </c>
    </row>
    <row r="54" spans="2:10" x14ac:dyDescent="0.25">
      <c r="B54" s="29"/>
      <c r="C54" s="27"/>
      <c r="D54" s="27"/>
      <c r="E54" s="27"/>
      <c r="F54" s="27"/>
      <c r="G54" s="27"/>
      <c r="H54" s="27"/>
      <c r="I54" s="27"/>
      <c r="J54" s="27"/>
    </row>
    <row r="55" spans="2:10" x14ac:dyDescent="0.25">
      <c r="B55" s="29" t="s">
        <v>45</v>
      </c>
      <c r="C55" s="6"/>
      <c r="D55" s="6">
        <v>94363</v>
      </c>
      <c r="E55" s="6">
        <v>121909</v>
      </c>
      <c r="F55" s="27">
        <f ca="1">E55*F19/E19</f>
        <v>136835.34705181909</v>
      </c>
      <c r="G55" s="27">
        <f ca="1">F55*G19/F19</f>
        <v>150106.53617649892</v>
      </c>
      <c r="H55" s="27">
        <f ca="1">G55*H19/G19</f>
        <v>166510.47115761225</v>
      </c>
      <c r="I55" s="27">
        <f ca="1">H55*I19/H19</f>
        <v>187638.9182386132</v>
      </c>
      <c r="J55" s="27">
        <f ca="1">I55*J19/I19</f>
        <v>211448.3455183435</v>
      </c>
    </row>
    <row r="56" spans="2:10" x14ac:dyDescent="0.25">
      <c r="B56" s="29" t="s">
        <v>46</v>
      </c>
      <c r="C56" s="6"/>
      <c r="D56" s="6">
        <v>66965</v>
      </c>
      <c r="E56" s="6">
        <v>75520</v>
      </c>
      <c r="F56" s="27">
        <f ca="1">E56*(1+F39)</f>
        <v>84803.774796800004</v>
      </c>
      <c r="G56" s="27">
        <f ca="1">F56*(1+G39)</f>
        <v>94336.815596768458</v>
      </c>
      <c r="H56" s="27">
        <f ca="1">G56*(1+H39)</f>
        <v>106307.17639311617</v>
      </c>
      <c r="I56" s="27">
        <f ca="1">H56*(1+I39)</f>
        <v>119796.45148276811</v>
      </c>
      <c r="J56" s="27">
        <f ca="1">I56*(1+J39)</f>
        <v>134997.37529283596</v>
      </c>
    </row>
    <row r="57" spans="2:10" x14ac:dyDescent="0.25">
      <c r="B57" s="29" t="s">
        <v>47</v>
      </c>
      <c r="C57" s="6"/>
      <c r="D57" s="6">
        <v>18103</v>
      </c>
      <c r="E57" s="6">
        <v>20576</v>
      </c>
      <c r="F57" s="27">
        <f ca="1">E57*(1+F39)</f>
        <v>23105.435251840001</v>
      </c>
      <c r="G57" s="27">
        <f ca="1">F57*(1+G39)</f>
        <v>25702.784927424625</v>
      </c>
      <c r="H57" s="27">
        <f ca="1">G57*(1+H39)</f>
        <v>28964.201025751565</v>
      </c>
      <c r="I57" s="27">
        <f ca="1">H57*(1+I39)</f>
        <v>32639.456908228767</v>
      </c>
      <c r="J57" s="27">
        <f ca="1">I57*(1+J39)</f>
        <v>36781.064539531151</v>
      </c>
    </row>
    <row r="58" spans="2:10" x14ac:dyDescent="0.25">
      <c r="B58" s="29" t="s">
        <v>48</v>
      </c>
      <c r="C58" s="6"/>
      <c r="D58" s="6">
        <v>78277</v>
      </c>
      <c r="E58" s="6">
        <v>87339</v>
      </c>
      <c r="F58" s="27">
        <f>E58</f>
        <v>87339</v>
      </c>
      <c r="G58" s="27">
        <f t="shared" ref="G58:J59" si="16">F58</f>
        <v>87339</v>
      </c>
      <c r="H58" s="27">
        <f t="shared" si="16"/>
        <v>87339</v>
      </c>
      <c r="I58" s="27">
        <f t="shared" si="16"/>
        <v>87339</v>
      </c>
      <c r="J58" s="27">
        <f t="shared" si="16"/>
        <v>87339</v>
      </c>
    </row>
    <row r="59" spans="2:10" x14ac:dyDescent="0.25">
      <c r="B59" s="29" t="s">
        <v>49</v>
      </c>
      <c r="C59" s="6"/>
      <c r="D59" s="6">
        <v>52623</v>
      </c>
      <c r="E59" s="6">
        <v>65648</v>
      </c>
      <c r="F59" s="27">
        <f>E59</f>
        <v>65648</v>
      </c>
      <c r="G59" s="27">
        <f t="shared" si="16"/>
        <v>65648</v>
      </c>
      <c r="H59" s="27">
        <f t="shared" si="16"/>
        <v>65648</v>
      </c>
      <c r="I59" s="27">
        <f t="shared" si="16"/>
        <v>65648</v>
      </c>
      <c r="J59" s="27">
        <f t="shared" si="16"/>
        <v>65648</v>
      </c>
    </row>
    <row r="60" spans="2:10" ht="15.75" customHeight="1" x14ac:dyDescent="0.25">
      <c r="B60" s="29" t="s">
        <v>50</v>
      </c>
      <c r="C60" s="6"/>
      <c r="D60" s="6">
        <v>28593</v>
      </c>
      <c r="E60" s="6">
        <v>35985</v>
      </c>
      <c r="F60" s="27">
        <f ca="1">E60*(1+F39)</f>
        <v>40408.684269900004</v>
      </c>
      <c r="G60" s="27">
        <f ca="1">F60*(1+G39)</f>
        <v>44951.142866124377</v>
      </c>
      <c r="H60" s="27">
        <f ca="1">G60*(1+H39)</f>
        <v>50654.975403949749</v>
      </c>
      <c r="I60" s="27">
        <f ca="1">H60*(1+I39)</f>
        <v>57082.56497096677</v>
      </c>
      <c r="J60" s="27">
        <f ca="1">I60*(1+J39)</f>
        <v>64325.748807106749</v>
      </c>
    </row>
    <row r="61" spans="2:10" x14ac:dyDescent="0.25">
      <c r="B61" s="30" t="s">
        <v>51</v>
      </c>
      <c r="C61" s="25"/>
      <c r="D61" s="25">
        <f t="shared" ref="D61:J61" si="17">SUM(D55:D60)</f>
        <v>338924</v>
      </c>
      <c r="E61" s="25">
        <f t="shared" si="17"/>
        <v>406977</v>
      </c>
      <c r="F61" s="40">
        <f t="shared" ca="1" si="17"/>
        <v>438140.24137035914</v>
      </c>
      <c r="G61" s="40">
        <f t="shared" ca="1" si="17"/>
        <v>468084.2795668164</v>
      </c>
      <c r="H61" s="40">
        <f t="shared" ca="1" si="17"/>
        <v>505423.82398042968</v>
      </c>
      <c r="I61" s="40">
        <f t="shared" ca="1" si="17"/>
        <v>550144.39160057681</v>
      </c>
      <c r="J61" s="40">
        <f t="shared" ca="1" si="17"/>
        <v>600539.53415781737</v>
      </c>
    </row>
    <row r="62" spans="2:10" x14ac:dyDescent="0.25">
      <c r="B62" s="30"/>
      <c r="C62" s="25"/>
      <c r="D62" s="25"/>
      <c r="E62" s="25"/>
      <c r="F62" s="27"/>
      <c r="G62" s="27"/>
      <c r="H62" s="27"/>
      <c r="I62" s="27"/>
      <c r="J62" s="27"/>
    </row>
    <row r="63" spans="2:10" x14ac:dyDescent="0.25">
      <c r="B63" s="29" t="s">
        <v>52</v>
      </c>
      <c r="C63" s="6"/>
      <c r="D63" s="6">
        <v>111</v>
      </c>
      <c r="E63" s="6">
        <v>112</v>
      </c>
      <c r="F63" s="27">
        <f>E63</f>
        <v>112</v>
      </c>
      <c r="G63" s="27">
        <f t="shared" ref="G63:J64" si="18">F63</f>
        <v>112</v>
      </c>
      <c r="H63" s="27">
        <f t="shared" si="18"/>
        <v>112</v>
      </c>
      <c r="I63" s="27">
        <f t="shared" si="18"/>
        <v>112</v>
      </c>
      <c r="J63" s="27">
        <f t="shared" si="18"/>
        <v>112</v>
      </c>
    </row>
    <row r="64" spans="2:10" x14ac:dyDescent="0.25">
      <c r="B64" s="29" t="s">
        <v>53</v>
      </c>
      <c r="C64" s="6"/>
      <c r="D64" s="6">
        <v>-7837</v>
      </c>
      <c r="E64" s="6">
        <v>-7837</v>
      </c>
      <c r="F64" s="27">
        <f>E64</f>
        <v>-7837</v>
      </c>
      <c r="G64" s="27">
        <f t="shared" si="18"/>
        <v>-7837</v>
      </c>
      <c r="H64" s="27">
        <f t="shared" si="18"/>
        <v>-7837</v>
      </c>
      <c r="I64" s="27">
        <f t="shared" si="18"/>
        <v>-7837</v>
      </c>
      <c r="J64" s="27">
        <f t="shared" si="18"/>
        <v>-7837</v>
      </c>
    </row>
    <row r="65" spans="2:12" x14ac:dyDescent="0.25">
      <c r="B65" s="29" t="s">
        <v>54</v>
      </c>
      <c r="C65" s="6"/>
      <c r="D65" s="6">
        <v>120864</v>
      </c>
      <c r="E65" s="6">
        <v>140024</v>
      </c>
      <c r="F65" s="27">
        <f ca="1">E65++F35</f>
        <v>161884.10439578001</v>
      </c>
      <c r="G65" s="27">
        <f t="shared" ref="G65:J65" ca="1" si="19">F65++G35</f>
        <v>186201.56717679554</v>
      </c>
      <c r="H65" s="27">
        <f t="shared" ca="1" si="19"/>
        <v>213604.66308310899</v>
      </c>
      <c r="I65" s="27">
        <f t="shared" ca="1" si="19"/>
        <v>244484.92686773618</v>
      </c>
      <c r="J65" s="27">
        <f t="shared" ca="1" si="19"/>
        <v>279283.5749718892</v>
      </c>
    </row>
    <row r="66" spans="2:12" ht="15.75" customHeight="1" x14ac:dyDescent="0.25">
      <c r="B66" s="29" t="s">
        <v>55</v>
      </c>
      <c r="C66" s="24"/>
      <c r="D66" s="6">
        <v>172866</v>
      </c>
      <c r="E66" s="6">
        <v>250536</v>
      </c>
      <c r="F66" s="27">
        <f ca="1">F122</f>
        <v>345135.01572105382</v>
      </c>
      <c r="G66" s="27">
        <f ca="1">G122</f>
        <v>452447.49425629614</v>
      </c>
      <c r="H66" s="27">
        <f ca="1">H122</f>
        <v>585837.75843859697</v>
      </c>
      <c r="I66" s="27">
        <f ca="1">I122</f>
        <v>735211.01381881733</v>
      </c>
      <c r="J66" s="27">
        <f ca="1">J122</f>
        <v>902710.19974796928</v>
      </c>
    </row>
    <row r="67" spans="2:12" ht="15.75" customHeight="1" x14ac:dyDescent="0.25">
      <c r="B67" s="29" t="s">
        <v>56</v>
      </c>
      <c r="C67" s="6"/>
      <c r="D67" s="6">
        <v>-34</v>
      </c>
      <c r="E67" s="6">
        <v>28230</v>
      </c>
      <c r="F67" s="27">
        <f>E67</f>
        <v>28230</v>
      </c>
      <c r="G67" s="27">
        <f>F67</f>
        <v>28230</v>
      </c>
      <c r="H67" s="27">
        <f>G67</f>
        <v>28230</v>
      </c>
      <c r="I67" s="27">
        <f>H67</f>
        <v>28230</v>
      </c>
      <c r="J67" s="27">
        <f>I67</f>
        <v>28230</v>
      </c>
    </row>
    <row r="68" spans="2:12" x14ac:dyDescent="0.25">
      <c r="B68" s="30" t="s">
        <v>57</v>
      </c>
      <c r="C68" s="40"/>
      <c r="D68" s="40">
        <f t="shared" ref="D68:J68" si="20">SUM(D63:D67)</f>
        <v>285970</v>
      </c>
      <c r="E68" s="40">
        <f t="shared" si="20"/>
        <v>411065</v>
      </c>
      <c r="F68" s="40">
        <f t="shared" ca="1" si="20"/>
        <v>527524.12011683383</v>
      </c>
      <c r="G68" s="40">
        <f t="shared" ca="1" si="20"/>
        <v>659154.06143309164</v>
      </c>
      <c r="H68" s="40">
        <f t="shared" ca="1" si="20"/>
        <v>819947.42152170592</v>
      </c>
      <c r="I68" s="40">
        <f t="shared" ca="1" si="20"/>
        <v>1000200.9406865535</v>
      </c>
      <c r="J68" s="40">
        <f t="shared" ca="1" si="20"/>
        <v>1202498.7747198585</v>
      </c>
    </row>
    <row r="69" spans="2:12" x14ac:dyDescent="0.25">
      <c r="C69" s="27"/>
      <c r="D69" s="27"/>
      <c r="E69" s="27"/>
    </row>
    <row r="70" spans="2:12" x14ac:dyDescent="0.25">
      <c r="B70" s="19" t="s">
        <v>58</v>
      </c>
      <c r="C70" s="41"/>
      <c r="D70" s="41">
        <f t="shared" ref="D70:J70" si="21">ROUND(D53-D61-D68,3)</f>
        <v>0</v>
      </c>
      <c r="E70" s="41">
        <f t="shared" si="21"/>
        <v>0</v>
      </c>
      <c r="F70" s="41">
        <f t="shared" ca="1" si="21"/>
        <v>0</v>
      </c>
      <c r="G70" s="41">
        <f t="shared" ca="1" si="21"/>
        <v>0</v>
      </c>
      <c r="H70" s="41">
        <f t="shared" ca="1" si="21"/>
        <v>0</v>
      </c>
      <c r="I70" s="41">
        <f t="shared" ca="1" si="21"/>
        <v>0</v>
      </c>
      <c r="J70" s="41">
        <f t="shared" ca="1" si="21"/>
        <v>0</v>
      </c>
    </row>
    <row r="71" spans="2:12" x14ac:dyDescent="0.25">
      <c r="D71" s="27"/>
      <c r="E71" s="27"/>
      <c r="G71" s="27"/>
      <c r="H71" s="27"/>
      <c r="I71" s="27"/>
      <c r="J71" s="27"/>
    </row>
    <row r="72" spans="2:12" x14ac:dyDescent="0.25">
      <c r="B72" s="13" t="s">
        <v>59</v>
      </c>
      <c r="C72" s="35"/>
      <c r="D72" s="35"/>
      <c r="E72" s="35"/>
      <c r="F72" s="35"/>
      <c r="G72" s="35"/>
      <c r="H72" s="35"/>
      <c r="I72" s="35"/>
      <c r="J72" s="35"/>
    </row>
    <row r="73" spans="2:12" x14ac:dyDescent="0.25">
      <c r="B73" s="36" t="str">
        <f>B15</f>
        <v xml:space="preserve">Fiscal year  </v>
      </c>
      <c r="C73" s="37"/>
      <c r="D73" s="37"/>
      <c r="E73" s="37"/>
      <c r="F73" s="38">
        <f t="shared" ref="F73:J74" si="22">F15</f>
        <v>2026</v>
      </c>
      <c r="G73" s="38">
        <f t="shared" si="22"/>
        <v>2027</v>
      </c>
      <c r="H73" s="38">
        <f t="shared" si="22"/>
        <v>2028</v>
      </c>
      <c r="I73" s="38">
        <f t="shared" si="22"/>
        <v>2029</v>
      </c>
      <c r="J73" s="38">
        <f t="shared" si="22"/>
        <v>2030</v>
      </c>
    </row>
    <row r="74" spans="2:12" x14ac:dyDescent="0.25">
      <c r="B74" s="14" t="str">
        <f>B16</f>
        <v>Fiscal year end date</v>
      </c>
      <c r="C74" s="39"/>
      <c r="D74" s="39"/>
      <c r="E74" s="39"/>
      <c r="F74" s="39">
        <f t="shared" si="22"/>
        <v>46387</v>
      </c>
      <c r="G74" s="39">
        <f t="shared" si="22"/>
        <v>46752</v>
      </c>
      <c r="H74" s="39">
        <f t="shared" si="22"/>
        <v>47118</v>
      </c>
      <c r="I74" s="39">
        <f t="shared" si="22"/>
        <v>47483</v>
      </c>
      <c r="J74" s="39">
        <f t="shared" si="22"/>
        <v>47848</v>
      </c>
    </row>
    <row r="76" spans="2:12" x14ac:dyDescent="0.25">
      <c r="B76" t="s">
        <v>27</v>
      </c>
      <c r="C76" s="42"/>
      <c r="D76" s="42"/>
      <c r="E76" s="42"/>
      <c r="F76" s="27">
        <f ca="1">F31</f>
        <v>94599.015721053787</v>
      </c>
      <c r="G76" s="27">
        <f ca="1">G31</f>
        <v>107312.47853524234</v>
      </c>
      <c r="H76" s="27">
        <f ca="1">H31</f>
        <v>133390.26418230077</v>
      </c>
      <c r="I76" s="27">
        <f ca="1">I31</f>
        <v>149373.25538022036</v>
      </c>
      <c r="J76" s="27">
        <f ca="1">J31</f>
        <v>167499.18592915198</v>
      </c>
      <c r="L76" s="12"/>
    </row>
    <row r="77" spans="2:12" x14ac:dyDescent="0.25">
      <c r="B77" t="s">
        <v>60</v>
      </c>
      <c r="C77" s="42"/>
      <c r="D77" s="42"/>
      <c r="E77" s="42"/>
      <c r="F77" s="27">
        <f ca="1">F33</f>
        <v>86990.258017268876</v>
      </c>
      <c r="G77" s="27">
        <f ca="1">G33</f>
        <v>94008.777083406385</v>
      </c>
      <c r="H77" s="27">
        <f ca="1">H33</f>
        <v>107411.24738941563</v>
      </c>
      <c r="I77" s="27">
        <f ca="1">I33</f>
        <v>125444.2652907657</v>
      </c>
      <c r="J77" s="27">
        <f ca="1">J33</f>
        <v>146324.26271365149</v>
      </c>
    </row>
    <row r="78" spans="2:12" x14ac:dyDescent="0.25">
      <c r="B78" t="s">
        <v>30</v>
      </c>
      <c r="C78" s="42"/>
      <c r="D78" s="42"/>
      <c r="E78" s="42"/>
      <c r="F78" s="27">
        <f ca="1">F35</f>
        <v>21860.104395779999</v>
      </c>
      <c r="G78" s="27">
        <f ca="1">G35</f>
        <v>24317.462781015511</v>
      </c>
      <c r="H78" s="27">
        <f ca="1">H35</f>
        <v>27403.095906313454</v>
      </c>
      <c r="I78" s="27">
        <f ca="1">I35</f>
        <v>30880.263784627205</v>
      </c>
      <c r="J78" s="27">
        <f ca="1">J35</f>
        <v>34798.648104153035</v>
      </c>
    </row>
    <row r="79" spans="2:12" x14ac:dyDescent="0.25">
      <c r="B79" t="s">
        <v>61</v>
      </c>
      <c r="C79" s="27"/>
      <c r="D79" s="27"/>
      <c r="E79" s="27"/>
      <c r="F79" s="27">
        <f ca="1">-1*(SUM(F49:F50)-SUM(E49:E50))</f>
        <v>-13018.46971032281</v>
      </c>
      <c r="G79" s="27">
        <f ca="1">-1*(SUM(G49:G50)-SUM(F49:F50))</f>
        <v>-12721.681907819977</v>
      </c>
      <c r="H79" s="27">
        <f ca="1">-1*(SUM(H49:H50)-SUM(G49:G50))</f>
        <v>-15892.409790864389</v>
      </c>
      <c r="I79" s="27">
        <f ca="1">-1*(SUM(I49:I50)-SUM(H49:H50))</f>
        <v>-18739.888702564349</v>
      </c>
      <c r="J79" s="27">
        <f ca="1">-1*(SUM(J49:J50)-SUM(I49:I50))</f>
        <v>-21117.785684077273</v>
      </c>
    </row>
    <row r="80" spans="2:12" x14ac:dyDescent="0.25">
      <c r="B80" t="s">
        <v>62</v>
      </c>
      <c r="C80" s="27"/>
      <c r="D80" s="27"/>
      <c r="E80" s="27"/>
      <c r="F80" s="27">
        <f ca="1">SUM(F55:F57)-SUM(E55:E57)</f>
        <v>26739.557100459089</v>
      </c>
      <c r="G80" s="27">
        <f ca="1">SUM(G55:G57)-SUM(F55:F57)</f>
        <v>25401.579600232915</v>
      </c>
      <c r="H80" s="27">
        <f ca="1">SUM(H55:H57)-SUM(G55:G57)</f>
        <v>31635.711875787936</v>
      </c>
      <c r="I80" s="27">
        <f ca="1">SUM(I55:I57)-SUM(H55:H57)</f>
        <v>38292.978053130151</v>
      </c>
      <c r="J80" s="27">
        <f ca="1">SUM(J55:J57)-SUM(I55:I57)</f>
        <v>43151.958721100527</v>
      </c>
    </row>
    <row r="81" spans="2:12" x14ac:dyDescent="0.25">
      <c r="B81" t="s">
        <v>43</v>
      </c>
      <c r="F81" s="27">
        <f ca="1">-(F114)</f>
        <v>-55300.607458600018</v>
      </c>
      <c r="G81" s="27">
        <f ca="1">-(G114)</f>
        <v>-59077.533868861123</v>
      </c>
      <c r="H81" s="27">
        <f ca="1">-(H114)</f>
        <v>-70344.248688748514</v>
      </c>
      <c r="I81" s="27">
        <f ca="1">-(I114)</f>
        <v>-79270.202267164364</v>
      </c>
      <c r="J81" s="27">
        <f ca="1">-(J114)</f>
        <v>-89328.766524763894</v>
      </c>
    </row>
    <row r="82" spans="2:12" x14ac:dyDescent="0.25">
      <c r="B82" t="s">
        <v>50</v>
      </c>
      <c r="F82" s="27">
        <f ca="1">F60-E60</f>
        <v>4423.6842699000044</v>
      </c>
      <c r="G82" s="27">
        <f ca="1">G60-F60</f>
        <v>4542.4585962243727</v>
      </c>
      <c r="H82" s="27">
        <f ca="1">H60-G60</f>
        <v>5703.8325378253721</v>
      </c>
      <c r="I82" s="27">
        <f ca="1">I60-H60</f>
        <v>6427.5895670170212</v>
      </c>
      <c r="J82" s="27">
        <f ca="1">J60-I60</f>
        <v>7243.1838361399787</v>
      </c>
      <c r="L82" s="12"/>
    </row>
    <row r="83" spans="2:12" x14ac:dyDescent="0.25">
      <c r="B83" s="12" t="s">
        <v>63</v>
      </c>
      <c r="F83" s="40">
        <f ca="1">SUM(F76:F82)</f>
        <v>166293.54233553895</v>
      </c>
      <c r="G83" s="40">
        <f ca="1">SUM(G76:G82)</f>
        <v>183783.54081944044</v>
      </c>
      <c r="H83" s="40">
        <f ca="1">SUM(H76:H82)</f>
        <v>219307.49341203025</v>
      </c>
      <c r="I83" s="40">
        <f ca="1">SUM(I76:I82)</f>
        <v>252408.26110603168</v>
      </c>
      <c r="J83" s="40">
        <f ca="1">SUM(J76:J82)</f>
        <v>288570.68709535588</v>
      </c>
    </row>
    <row r="84" spans="2:12" x14ac:dyDescent="0.25">
      <c r="F84" s="27"/>
      <c r="G84" s="27"/>
      <c r="H84" s="27"/>
      <c r="I84" s="27"/>
      <c r="J84" s="27"/>
    </row>
    <row r="85" spans="2:12" x14ac:dyDescent="0.25">
      <c r="B85" t="s">
        <v>64</v>
      </c>
      <c r="F85" s="27">
        <f>-(F100)</f>
        <v>-178185.02</v>
      </c>
      <c r="G85" s="27">
        <f>-(G100)</f>
        <v>-179424.13</v>
      </c>
      <c r="H85" s="27">
        <f>-(H100)</f>
        <v>-195389.49</v>
      </c>
      <c r="I85" s="27">
        <f ca="1">-(I100)</f>
        <v>-220182.38423030399</v>
      </c>
      <c r="J85" s="27">
        <f ca="1">-(J100)</f>
        <v>-248121.23889233355</v>
      </c>
    </row>
    <row r="86" spans="2:12" x14ac:dyDescent="0.25">
      <c r="B86" s="12" t="s">
        <v>65</v>
      </c>
      <c r="F86" s="40">
        <f>IFERROR(F85,"NA")</f>
        <v>-178185.02</v>
      </c>
      <c r="G86" s="40">
        <f>IFERROR(G85,"NA")</f>
        <v>-179424.13</v>
      </c>
      <c r="H86" s="40">
        <f>IFERROR(H85,"NA")</f>
        <v>-195389.49</v>
      </c>
      <c r="I86" s="40">
        <f ca="1">IFERROR(I85,"NA")</f>
        <v>-220182.38423030399</v>
      </c>
      <c r="J86" s="40">
        <f ca="1">IFERROR(J85,"NA")</f>
        <v>-248121.23889233355</v>
      </c>
    </row>
    <row r="87" spans="2:12" x14ac:dyDescent="0.25">
      <c r="F87" s="27"/>
      <c r="G87" s="27"/>
      <c r="H87" s="27"/>
      <c r="I87" s="27"/>
      <c r="J87" s="27"/>
    </row>
    <row r="88" spans="2:12" x14ac:dyDescent="0.25">
      <c r="B88" t="s">
        <v>66</v>
      </c>
      <c r="F88" s="27">
        <f>F59-E59</f>
        <v>0</v>
      </c>
      <c r="G88" s="27">
        <f>G59-F59</f>
        <v>0</v>
      </c>
      <c r="H88" s="27">
        <f>H59-G59</f>
        <v>0</v>
      </c>
      <c r="I88" s="27">
        <f>I59-H59</f>
        <v>0</v>
      </c>
      <c r="J88" s="27">
        <f>J59-I59</f>
        <v>0</v>
      </c>
    </row>
    <row r="89" spans="2:12" x14ac:dyDescent="0.25">
      <c r="B89" t="s">
        <v>67</v>
      </c>
      <c r="F89" s="27">
        <f>F121</f>
        <v>0</v>
      </c>
      <c r="G89" s="27">
        <f>G121</f>
        <v>0</v>
      </c>
      <c r="H89" s="27">
        <f>H121</f>
        <v>0</v>
      </c>
      <c r="I89" s="27">
        <f>I121</f>
        <v>0</v>
      </c>
      <c r="J89" s="27">
        <f>J121</f>
        <v>0</v>
      </c>
    </row>
    <row r="90" spans="2:12" x14ac:dyDescent="0.25">
      <c r="B90" t="s">
        <v>68</v>
      </c>
      <c r="F90" s="27">
        <f>F120</f>
        <v>0</v>
      </c>
      <c r="G90" s="27">
        <f>G120</f>
        <v>0</v>
      </c>
      <c r="H90" s="27">
        <f>H120</f>
        <v>0</v>
      </c>
      <c r="I90" s="27">
        <f>I120</f>
        <v>0</v>
      </c>
      <c r="J90" s="27">
        <f>J120</f>
        <v>0</v>
      </c>
    </row>
    <row r="91" spans="2:12" x14ac:dyDescent="0.25">
      <c r="B91" s="12" t="s">
        <v>69</v>
      </c>
      <c r="F91" s="40">
        <f>SUM(F88:F90)</f>
        <v>0</v>
      </c>
      <c r="G91" s="40">
        <f>SUM(G88:G90)</f>
        <v>0</v>
      </c>
      <c r="H91" s="40">
        <f>SUM(H88:H90)</f>
        <v>0</v>
      </c>
      <c r="I91" s="40">
        <f>SUM(I88:I90)</f>
        <v>0</v>
      </c>
      <c r="J91" s="40">
        <f>SUM(J88:J90)</f>
        <v>0</v>
      </c>
    </row>
    <row r="92" spans="2:12" x14ac:dyDescent="0.25">
      <c r="F92" s="27"/>
      <c r="G92" s="27"/>
      <c r="H92" s="27"/>
      <c r="I92" s="27"/>
      <c r="J92" s="27"/>
    </row>
    <row r="93" spans="2:12" x14ac:dyDescent="0.25">
      <c r="B93" s="12" t="s">
        <v>70</v>
      </c>
      <c r="F93" s="40">
        <f ca="1">F83+F86+F91</f>
        <v>-11891.477664461039</v>
      </c>
      <c r="G93" s="40">
        <f ca="1">G83+G86+G91</f>
        <v>4359.4108194404398</v>
      </c>
      <c r="H93" s="40">
        <f ca="1">H83+H86+H91</f>
        <v>23918.003412030259</v>
      </c>
      <c r="I93" s="40">
        <f ca="1">I83+I86+I91</f>
        <v>32225.876875727699</v>
      </c>
      <c r="J93" s="40">
        <f ca="1">J83+J86+J91</f>
        <v>40449.44820302233</v>
      </c>
    </row>
    <row r="95" spans="2:12" x14ac:dyDescent="0.25">
      <c r="B95" s="13" t="s">
        <v>71</v>
      </c>
      <c r="C95" s="14"/>
      <c r="D95" s="14"/>
      <c r="E95" s="14"/>
      <c r="F95" s="14"/>
      <c r="G95" s="14"/>
      <c r="H95" s="14"/>
      <c r="I95" s="14"/>
      <c r="J95" s="14"/>
    </row>
    <row r="96" spans="2:12" x14ac:dyDescent="0.25">
      <c r="B96" s="36" t="str">
        <f t="shared" ref="B96:J97" si="23">B15</f>
        <v xml:space="preserve">Fiscal year  </v>
      </c>
      <c r="C96" s="37">
        <f t="shared" si="23"/>
        <v>2023</v>
      </c>
      <c r="D96" s="37">
        <f t="shared" si="23"/>
        <v>2024</v>
      </c>
      <c r="E96" s="37">
        <f t="shared" si="23"/>
        <v>2025</v>
      </c>
      <c r="F96" s="38">
        <f t="shared" si="23"/>
        <v>2026</v>
      </c>
      <c r="G96" s="38">
        <f t="shared" si="23"/>
        <v>2027</v>
      </c>
      <c r="H96" s="38">
        <f t="shared" si="23"/>
        <v>2028</v>
      </c>
      <c r="I96" s="38">
        <f t="shared" si="23"/>
        <v>2029</v>
      </c>
      <c r="J96" s="38">
        <f t="shared" si="23"/>
        <v>2030</v>
      </c>
    </row>
    <row r="97" spans="2:16" x14ac:dyDescent="0.25">
      <c r="B97" s="14" t="str">
        <f t="shared" si="23"/>
        <v>Fiscal year end date</v>
      </c>
      <c r="C97" s="39">
        <f t="shared" si="23"/>
        <v>45291</v>
      </c>
      <c r="D97" s="39">
        <f t="shared" si="23"/>
        <v>45657</v>
      </c>
      <c r="E97" s="39">
        <f t="shared" si="23"/>
        <v>46022</v>
      </c>
      <c r="F97" s="39">
        <f t="shared" si="23"/>
        <v>46387</v>
      </c>
      <c r="G97" s="39">
        <f t="shared" si="23"/>
        <v>46752</v>
      </c>
      <c r="H97" s="39">
        <f t="shared" si="23"/>
        <v>47118</v>
      </c>
      <c r="I97" s="39">
        <f t="shared" si="23"/>
        <v>47483</v>
      </c>
      <c r="J97" s="39">
        <f t="shared" si="23"/>
        <v>47848</v>
      </c>
    </row>
    <row r="98" spans="2:16" x14ac:dyDescent="0.25">
      <c r="B98" s="12"/>
      <c r="F98" s="43" t="s">
        <v>72</v>
      </c>
      <c r="G98" s="43"/>
      <c r="H98" s="43"/>
      <c r="I98" s="43"/>
      <c r="J98" s="43"/>
    </row>
    <row r="99" spans="2:16" x14ac:dyDescent="0.25">
      <c r="B99" s="29" t="s">
        <v>73</v>
      </c>
      <c r="F99" s="27">
        <f>E102</f>
        <v>357025</v>
      </c>
      <c r="G99" s="27">
        <f>F102</f>
        <v>475008.41202977113</v>
      </c>
      <c r="H99" s="27">
        <f>G102</f>
        <v>590223.80563593714</v>
      </c>
      <c r="I99" s="27">
        <f>H102</f>
        <v>711783.40417917748</v>
      </c>
      <c r="J99" s="27">
        <f ca="1">I102</f>
        <v>844364.00387312414</v>
      </c>
    </row>
    <row r="100" spans="2:16" x14ac:dyDescent="0.25">
      <c r="B100" s="44" t="s">
        <v>74</v>
      </c>
      <c r="C100" s="6">
        <v>52729</v>
      </c>
      <c r="D100" s="6">
        <v>82999</v>
      </c>
      <c r="E100" s="6">
        <v>131819</v>
      </c>
      <c r="F100" s="6">
        <v>178185.02</v>
      </c>
      <c r="G100" s="6">
        <v>179424.13</v>
      </c>
      <c r="H100" s="6">
        <v>195389.49</v>
      </c>
      <c r="I100" s="27">
        <f ca="1">H100*(1+I39)</f>
        <v>220182.38423030399</v>
      </c>
      <c r="J100" s="27">
        <f ca="1">I100*(1+J39)</f>
        <v>248121.23889233355</v>
      </c>
    </row>
    <row r="101" spans="2:16" x14ac:dyDescent="0.25">
      <c r="B101" s="45" t="s">
        <v>75</v>
      </c>
      <c r="C101" s="46">
        <v>-30200</v>
      </c>
      <c r="D101" s="46">
        <v>-32100</v>
      </c>
      <c r="E101" s="46">
        <v>-41900</v>
      </c>
      <c r="F101" s="47">
        <f>-(F104*F100)</f>
        <v>-60201.60797022887</v>
      </c>
      <c r="G101" s="47">
        <f>-(G104*G100)</f>
        <v>-64208.736393833977</v>
      </c>
      <c r="H101" s="47">
        <f>-(H104*H100)</f>
        <v>-73829.891456759651</v>
      </c>
      <c r="I101" s="47">
        <f ca="1">-(I104*I100)</f>
        <v>-87601.784536357387</v>
      </c>
      <c r="J101" s="47">
        <f ca="1">-(J104*J100)</f>
        <v>-103679.96471330863</v>
      </c>
    </row>
    <row r="102" spans="2:16" x14ac:dyDescent="0.25">
      <c r="B102" s="48" t="s">
        <v>76</v>
      </c>
      <c r="C102" s="40"/>
      <c r="D102" s="40">
        <f>D51</f>
        <v>252665</v>
      </c>
      <c r="E102" s="40">
        <f>E51</f>
        <v>357025</v>
      </c>
      <c r="F102" s="40">
        <f>SUM(F99:F101)</f>
        <v>475008.41202977113</v>
      </c>
      <c r="G102" s="40">
        <f>SUM(G99:G101)</f>
        <v>590223.80563593714</v>
      </c>
      <c r="H102" s="40">
        <f>SUM(H99:H101)</f>
        <v>711783.40417917748</v>
      </c>
      <c r="I102" s="40">
        <f ca="1">SUM(I99:I101)</f>
        <v>844364.00387312414</v>
      </c>
      <c r="J102" s="40">
        <f ca="1">SUM(J99:J101)</f>
        <v>988805.27805214899</v>
      </c>
    </row>
    <row r="103" spans="2:16" x14ac:dyDescent="0.25">
      <c r="B103" s="29"/>
      <c r="L103" s="32" t="s">
        <v>77</v>
      </c>
    </row>
    <row r="104" spans="2:16" x14ac:dyDescent="0.25">
      <c r="B104" s="29" t="s">
        <v>78</v>
      </c>
      <c r="C104" s="49">
        <f>-(C101/C100)</f>
        <v>0.57273985852187603</v>
      </c>
      <c r="D104" s="49">
        <f>-(D101/D100)</f>
        <v>0.38675164761021219</v>
      </c>
      <c r="E104" s="49">
        <f>-(E101/E100)</f>
        <v>0.31786009604078319</v>
      </c>
      <c r="F104" s="33">
        <f>E104+$L$104</f>
        <v>0.33786009604078321</v>
      </c>
      <c r="G104" s="33">
        <f>F104+$L$104</f>
        <v>0.35786009604078323</v>
      </c>
      <c r="H104" s="33">
        <f>G104+$L$104</f>
        <v>0.37786009604078324</v>
      </c>
      <c r="I104" s="33">
        <f>H104+$L$104</f>
        <v>0.39786009604078326</v>
      </c>
      <c r="J104" s="33">
        <f>I104+$L$104</f>
        <v>0.41786009604078328</v>
      </c>
      <c r="L104" s="50">
        <v>0.02</v>
      </c>
      <c r="N104" s="51"/>
      <c r="O104" s="51"/>
      <c r="P104" s="51"/>
    </row>
    <row r="105" spans="2:16" x14ac:dyDescent="0.25">
      <c r="B105" s="29"/>
      <c r="C105" s="49"/>
      <c r="D105" s="49"/>
      <c r="E105" s="49"/>
      <c r="F105" s="33"/>
      <c r="G105" s="33"/>
      <c r="H105" s="33"/>
      <c r="I105" s="33"/>
      <c r="J105" s="33"/>
      <c r="N105" s="51"/>
      <c r="O105" s="51"/>
      <c r="P105" s="51"/>
    </row>
    <row r="106" spans="2:16" x14ac:dyDescent="0.25">
      <c r="B106" s="52" t="s">
        <v>79</v>
      </c>
      <c r="C106" s="53"/>
      <c r="D106" s="53"/>
      <c r="E106" s="53"/>
      <c r="F106" s="54"/>
      <c r="G106" s="54"/>
      <c r="H106" s="54"/>
      <c r="I106" s="54"/>
      <c r="J106" s="54"/>
      <c r="N106" s="51"/>
      <c r="O106" s="51"/>
      <c r="P106" s="51"/>
    </row>
    <row r="107" spans="2:16" x14ac:dyDescent="0.25">
      <c r="B107" s="29" t="s">
        <v>80</v>
      </c>
      <c r="C107" s="27">
        <f>C109+C101</f>
        <v>18463</v>
      </c>
      <c r="D107" s="27">
        <f>D109+D101</f>
        <v>20695</v>
      </c>
      <c r="E107" s="27">
        <f>E109+E101</f>
        <v>23856</v>
      </c>
      <c r="F107" s="24">
        <f ca="1">F108*F18</f>
        <v>26788.650047039999</v>
      </c>
      <c r="G107" s="24">
        <f ca="1">G108*G18</f>
        <v>29800.040689572405</v>
      </c>
      <c r="H107" s="24">
        <f ca="1">H108*H18</f>
        <v>33581.35593265597</v>
      </c>
      <c r="I107" s="24">
        <f ca="1">I108*I18</f>
        <v>37842.480754408316</v>
      </c>
      <c r="J107" s="24">
        <f ca="1">J108*J18</f>
        <v>42644.298000342875</v>
      </c>
      <c r="N107" s="51"/>
      <c r="O107" s="51"/>
      <c r="P107" s="51"/>
    </row>
    <row r="108" spans="2:16" x14ac:dyDescent="0.25">
      <c r="B108" s="28" t="s">
        <v>81</v>
      </c>
      <c r="C108" s="55">
        <f>C107/C18</f>
        <v>3.2121575893594996E-2</v>
      </c>
      <c r="D108" s="55">
        <f>D107/D18</f>
        <v>3.2439388738147751E-2</v>
      </c>
      <c r="E108" s="55">
        <f>E107/E18</f>
        <v>3.3275493636703471E-2</v>
      </c>
      <c r="F108" s="33">
        <f>E108</f>
        <v>3.3275493636703471E-2</v>
      </c>
      <c r="G108" s="33">
        <f>F108</f>
        <v>3.3275493636703471E-2</v>
      </c>
      <c r="H108" s="33">
        <f>G108</f>
        <v>3.3275493636703471E-2</v>
      </c>
      <c r="I108" s="33">
        <f>H108</f>
        <v>3.3275493636703471E-2</v>
      </c>
      <c r="J108" s="33">
        <f>I108</f>
        <v>3.3275493636703471E-2</v>
      </c>
    </row>
    <row r="109" spans="2:16" x14ac:dyDescent="0.25">
      <c r="B109" s="30" t="s">
        <v>82</v>
      </c>
      <c r="C109" s="40">
        <f>C33</f>
        <v>48663</v>
      </c>
      <c r="D109" s="40">
        <f>D33</f>
        <v>52795</v>
      </c>
      <c r="E109" s="40">
        <f>E33</f>
        <v>65756</v>
      </c>
      <c r="F109" s="25">
        <f ca="1">-F101+F107</f>
        <v>86990.258017268876</v>
      </c>
      <c r="G109" s="25">
        <f ca="1">-G101+G107</f>
        <v>94008.777083406385</v>
      </c>
      <c r="H109" s="25">
        <f ca="1">-H101+H107</f>
        <v>107411.24738941563</v>
      </c>
      <c r="I109" s="25">
        <f ca="1">-I101+I107</f>
        <v>125444.2652907657</v>
      </c>
      <c r="J109" s="25">
        <f ca="1">-J101+J107</f>
        <v>146324.26271365149</v>
      </c>
    </row>
    <row r="110" spans="2:16" x14ac:dyDescent="0.25">
      <c r="B110" s="29"/>
      <c r="C110" s="27"/>
      <c r="D110" s="27"/>
      <c r="E110" s="27"/>
      <c r="G110" s="27"/>
      <c r="H110" s="27"/>
      <c r="I110" s="27"/>
      <c r="J110" s="27"/>
    </row>
    <row r="111" spans="2:16" x14ac:dyDescent="0.25">
      <c r="B111" s="56" t="s">
        <v>83</v>
      </c>
      <c r="C111" s="14"/>
      <c r="D111" s="14"/>
      <c r="E111" s="14"/>
      <c r="G111" s="27"/>
      <c r="H111" s="27"/>
      <c r="I111" s="27"/>
      <c r="J111" s="27"/>
    </row>
    <row r="112" spans="2:16" x14ac:dyDescent="0.25">
      <c r="B112" s="29" t="s">
        <v>73</v>
      </c>
      <c r="C112" s="27"/>
      <c r="F112" s="57">
        <f>E115</f>
        <v>231934</v>
      </c>
      <c r="G112" s="57">
        <f ca="1">F115</f>
        <v>260445.95741156003</v>
      </c>
      <c r="H112" s="57">
        <f ca="1">G115</f>
        <v>289723.45059084875</v>
      </c>
      <c r="I112" s="57">
        <f ca="1">H115</f>
        <v>326486.34334694128</v>
      </c>
      <c r="J112" s="57">
        <f ca="1">I115</f>
        <v>367914.0648596973</v>
      </c>
    </row>
    <row r="113" spans="2:18" x14ac:dyDescent="0.25">
      <c r="B113" s="28" t="s">
        <v>84</v>
      </c>
      <c r="F113" s="27">
        <f ca="1">-(F107)</f>
        <v>-26788.650047039999</v>
      </c>
      <c r="G113" s="27">
        <f ca="1">-(G107)</f>
        <v>-29800.040689572405</v>
      </c>
      <c r="H113" s="27">
        <f ca="1">-(H107)</f>
        <v>-33581.35593265597</v>
      </c>
      <c r="I113" s="27">
        <f ca="1">-(I107)</f>
        <v>-37842.480754408316</v>
      </c>
      <c r="J113" s="27">
        <f ca="1">-(J107)</f>
        <v>-42644.298000342875</v>
      </c>
    </row>
    <row r="114" spans="2:18" ht="15" customHeight="1" x14ac:dyDescent="0.25">
      <c r="B114" s="58" t="s">
        <v>85</v>
      </c>
      <c r="C114" s="59"/>
      <c r="D114" s="59"/>
      <c r="E114" s="59"/>
      <c r="F114" s="60">
        <f ca="1">F115-F113-F112</f>
        <v>55300.607458600018</v>
      </c>
      <c r="G114" s="60">
        <f ca="1">G115-G113-G112</f>
        <v>59077.533868861123</v>
      </c>
      <c r="H114" s="60">
        <f ca="1">H115-H113-H112</f>
        <v>70344.248688748514</v>
      </c>
      <c r="I114" s="60">
        <f ca="1">I115-I113-I112</f>
        <v>79270.202267164364</v>
      </c>
      <c r="J114" s="60">
        <f ca="1">J115-J113-J112</f>
        <v>89328.766524763894</v>
      </c>
    </row>
    <row r="115" spans="2:18" x14ac:dyDescent="0.25">
      <c r="B115" s="48" t="s">
        <v>76</v>
      </c>
      <c r="D115" s="40">
        <f t="shared" ref="D115:J115" si="24">D52</f>
        <v>181362</v>
      </c>
      <c r="E115" s="40">
        <f t="shared" si="24"/>
        <v>231934</v>
      </c>
      <c r="F115" s="40">
        <f t="shared" ca="1" si="24"/>
        <v>260445.95741156003</v>
      </c>
      <c r="G115" s="40">
        <f t="shared" ca="1" si="24"/>
        <v>289723.45059084875</v>
      </c>
      <c r="H115" s="40">
        <f t="shared" ca="1" si="24"/>
        <v>326486.34334694128</v>
      </c>
      <c r="I115" s="40">
        <f t="shared" ca="1" si="24"/>
        <v>367914.0648596973</v>
      </c>
      <c r="J115" s="40">
        <f t="shared" ca="1" si="24"/>
        <v>414598.53338411835</v>
      </c>
    </row>
    <row r="116" spans="2:18" x14ac:dyDescent="0.25">
      <c r="B116" s="28"/>
      <c r="D116" s="27"/>
      <c r="E116" s="27"/>
      <c r="G116" s="27"/>
      <c r="H116" s="27"/>
      <c r="I116" s="27"/>
      <c r="J116" s="27"/>
    </row>
    <row r="117" spans="2:18" x14ac:dyDescent="0.25">
      <c r="B117" s="61" t="s">
        <v>86</v>
      </c>
      <c r="C117" s="56"/>
      <c r="D117" s="56"/>
      <c r="E117" s="56"/>
      <c r="F117" s="14"/>
      <c r="G117" s="14"/>
      <c r="H117" s="14"/>
      <c r="I117" s="14"/>
      <c r="J117" s="14"/>
    </row>
    <row r="118" spans="2:18" x14ac:dyDescent="0.25">
      <c r="B118" s="29" t="s">
        <v>73</v>
      </c>
      <c r="F118" s="27">
        <f>E122</f>
        <v>250536</v>
      </c>
      <c r="G118" s="27">
        <f ca="1">F122</f>
        <v>345135.01572105382</v>
      </c>
      <c r="H118" s="27">
        <f ca="1">G122</f>
        <v>452447.49425629614</v>
      </c>
      <c r="I118" s="27">
        <f ca="1">H122</f>
        <v>585837.75843859697</v>
      </c>
      <c r="J118" s="27">
        <f ca="1">I122</f>
        <v>735211.01381881733</v>
      </c>
    </row>
    <row r="119" spans="2:18" x14ac:dyDescent="0.25">
      <c r="B119" s="28" t="s">
        <v>87</v>
      </c>
      <c r="C119" s="24">
        <f t="shared" ref="C119:J119" si="25">C31</f>
        <v>30425</v>
      </c>
      <c r="D119" s="24">
        <f t="shared" si="25"/>
        <v>59248</v>
      </c>
      <c r="E119" s="24">
        <f t="shared" si="25"/>
        <v>77670</v>
      </c>
      <c r="F119" s="27">
        <f t="shared" ca="1" si="25"/>
        <v>94599.015721053787</v>
      </c>
      <c r="G119" s="27">
        <f t="shared" ca="1" si="25"/>
        <v>107312.47853524234</v>
      </c>
      <c r="H119" s="27">
        <f t="shared" ca="1" si="25"/>
        <v>133390.26418230077</v>
      </c>
      <c r="I119" s="27">
        <f t="shared" ca="1" si="25"/>
        <v>149373.25538022036</v>
      </c>
      <c r="J119" s="27">
        <f t="shared" ca="1" si="25"/>
        <v>167499.18592915198</v>
      </c>
    </row>
    <row r="120" spans="2:18" x14ac:dyDescent="0.25">
      <c r="B120" s="28" t="s">
        <v>88</v>
      </c>
      <c r="C120" s="6">
        <v>0</v>
      </c>
      <c r="D120" s="6">
        <v>0</v>
      </c>
      <c r="E120" s="6">
        <v>0</v>
      </c>
      <c r="F120" s="27">
        <f>E120</f>
        <v>0</v>
      </c>
      <c r="G120" s="27">
        <f>F120</f>
        <v>0</v>
      </c>
      <c r="H120" s="27">
        <f t="shared" ref="H120:J121" si="26">G120</f>
        <v>0</v>
      </c>
      <c r="I120" s="27">
        <f t="shared" si="26"/>
        <v>0</v>
      </c>
      <c r="J120" s="27">
        <f t="shared" si="26"/>
        <v>0</v>
      </c>
    </row>
    <row r="121" spans="2:18" x14ac:dyDescent="0.25">
      <c r="B121" s="58" t="s">
        <v>89</v>
      </c>
      <c r="C121" s="46">
        <v>0</v>
      </c>
      <c r="D121" s="46">
        <v>0</v>
      </c>
      <c r="E121" s="46">
        <v>0</v>
      </c>
      <c r="F121" s="47">
        <f>E121</f>
        <v>0</v>
      </c>
      <c r="G121" s="47">
        <f>F121</f>
        <v>0</v>
      </c>
      <c r="H121" s="47">
        <f t="shared" si="26"/>
        <v>0</v>
      </c>
      <c r="I121" s="47">
        <f t="shared" si="26"/>
        <v>0</v>
      </c>
      <c r="J121" s="47">
        <f t="shared" si="26"/>
        <v>0</v>
      </c>
    </row>
    <row r="122" spans="2:18" x14ac:dyDescent="0.25">
      <c r="B122" s="48" t="s">
        <v>76</v>
      </c>
      <c r="C122" s="25">
        <f>C66</f>
        <v>0</v>
      </c>
      <c r="D122" s="25">
        <f>D66</f>
        <v>172866</v>
      </c>
      <c r="E122" s="25">
        <f>E66</f>
        <v>250536</v>
      </c>
      <c r="F122" s="40">
        <f ca="1">SUM(F118:F121)</f>
        <v>345135.01572105382</v>
      </c>
      <c r="G122" s="40">
        <f ca="1">SUM(G118:G121)</f>
        <v>452447.49425629614</v>
      </c>
      <c r="H122" s="40">
        <f ca="1">SUM(H118:H121)</f>
        <v>585837.75843859697</v>
      </c>
      <c r="I122" s="40">
        <f ca="1">SUM(I118:I121)</f>
        <v>735211.01381881733</v>
      </c>
      <c r="J122" s="40">
        <f ca="1">SUM(J118:J121)</f>
        <v>902710.19974796928</v>
      </c>
    </row>
    <row r="123" spans="2:18" x14ac:dyDescent="0.25">
      <c r="D123" s="42"/>
      <c r="E123" s="42"/>
    </row>
    <row r="124" spans="2:18" x14ac:dyDescent="0.25">
      <c r="C124" s="27"/>
      <c r="D124" s="27"/>
      <c r="E124" s="62"/>
      <c r="F124" s="63"/>
      <c r="G124" s="63"/>
      <c r="H124" s="63"/>
      <c r="I124" s="63"/>
      <c r="J124" s="63"/>
      <c r="R124" s="42"/>
    </row>
    <row r="125" spans="2:18" x14ac:dyDescent="0.25">
      <c r="B125" s="13" t="s">
        <v>90</v>
      </c>
      <c r="C125" s="53"/>
      <c r="D125" s="53"/>
      <c r="E125" s="53"/>
      <c r="F125" s="64"/>
      <c r="G125" s="64"/>
      <c r="H125" s="64"/>
      <c r="I125" s="64"/>
      <c r="J125" s="64"/>
      <c r="Q125" s="65"/>
    </row>
    <row r="126" spans="2:18" x14ac:dyDescent="0.25">
      <c r="B126" s="36" t="str">
        <f t="shared" ref="B126:J127" si="27">B15</f>
        <v xml:space="preserve">Fiscal year  </v>
      </c>
      <c r="C126" s="37">
        <f t="shared" si="27"/>
        <v>2023</v>
      </c>
      <c r="D126" s="37">
        <f t="shared" si="27"/>
        <v>2024</v>
      </c>
      <c r="E126" s="37">
        <f t="shared" si="27"/>
        <v>2025</v>
      </c>
      <c r="F126" s="38">
        <f t="shared" si="27"/>
        <v>2026</v>
      </c>
      <c r="G126" s="38">
        <f t="shared" si="27"/>
        <v>2027</v>
      </c>
      <c r="H126" s="38">
        <f t="shared" si="27"/>
        <v>2028</v>
      </c>
      <c r="I126" s="38">
        <f t="shared" si="27"/>
        <v>2029</v>
      </c>
      <c r="J126" s="38">
        <f t="shared" si="27"/>
        <v>2030</v>
      </c>
      <c r="Q126" s="65"/>
      <c r="R126" s="42"/>
    </row>
    <row r="127" spans="2:18" x14ac:dyDescent="0.25">
      <c r="B127" s="14" t="str">
        <f t="shared" si="27"/>
        <v>Fiscal year end date</v>
      </c>
      <c r="C127" s="39">
        <f t="shared" si="27"/>
        <v>45291</v>
      </c>
      <c r="D127" s="39">
        <f t="shared" si="27"/>
        <v>45657</v>
      </c>
      <c r="E127" s="39">
        <f t="shared" si="27"/>
        <v>46022</v>
      </c>
      <c r="F127" s="39">
        <f t="shared" si="27"/>
        <v>46387</v>
      </c>
      <c r="G127" s="39">
        <f t="shared" si="27"/>
        <v>46752</v>
      </c>
      <c r="H127" s="39">
        <f t="shared" si="27"/>
        <v>47118</v>
      </c>
      <c r="I127" s="39">
        <f t="shared" si="27"/>
        <v>47483</v>
      </c>
      <c r="J127" s="39">
        <f t="shared" si="27"/>
        <v>47848</v>
      </c>
      <c r="Q127" s="65"/>
    </row>
    <row r="128" spans="2:18" x14ac:dyDescent="0.25">
      <c r="B128" s="28"/>
      <c r="C128" s="27"/>
      <c r="D128" s="27"/>
      <c r="E128" s="27"/>
      <c r="F128" s="66"/>
      <c r="G128" s="66"/>
      <c r="H128" s="66"/>
      <c r="I128" s="66"/>
      <c r="J128" s="66"/>
      <c r="Q128" s="65"/>
    </row>
    <row r="129" spans="2:17" x14ac:dyDescent="0.25">
      <c r="B129" s="29" t="s">
        <v>91</v>
      </c>
      <c r="C129" s="27">
        <f>-(C26)</f>
        <v>3182</v>
      </c>
      <c r="D129" s="27">
        <f>-(D26)</f>
        <v>2406</v>
      </c>
      <c r="E129" s="27">
        <f>-(E26)</f>
        <v>2274</v>
      </c>
      <c r="F129" s="27">
        <f>F134</f>
        <v>-2524.4320585773353</v>
      </c>
      <c r="G129" s="27">
        <f t="shared" ref="G129:J129" si="28">G134</f>
        <v>-2524.4320585773353</v>
      </c>
      <c r="H129" s="27">
        <f t="shared" si="28"/>
        <v>-2524.4320585773353</v>
      </c>
      <c r="I129" s="27">
        <f t="shared" si="28"/>
        <v>-2524.4320585773353</v>
      </c>
      <c r="J129" s="27">
        <f t="shared" si="28"/>
        <v>-2524.4320585773353</v>
      </c>
      <c r="Q129" s="42"/>
    </row>
    <row r="130" spans="2:17" x14ac:dyDescent="0.25">
      <c r="B130" s="67"/>
      <c r="C130" s="27"/>
      <c r="D130" s="27"/>
      <c r="E130" s="27"/>
    </row>
    <row r="131" spans="2:17" x14ac:dyDescent="0.25">
      <c r="B131" s="68" t="s">
        <v>66</v>
      </c>
      <c r="C131" s="27"/>
      <c r="D131" s="27"/>
      <c r="E131" s="27"/>
    </row>
    <row r="132" spans="2:17" x14ac:dyDescent="0.25">
      <c r="B132" s="28" t="s">
        <v>92</v>
      </c>
      <c r="C132" s="27"/>
      <c r="D132" s="27">
        <f t="shared" ref="D132:J132" si="29">D59</f>
        <v>52623</v>
      </c>
      <c r="E132" s="27">
        <f t="shared" si="29"/>
        <v>65648</v>
      </c>
      <c r="F132" s="27">
        <f t="shared" si="29"/>
        <v>65648</v>
      </c>
      <c r="G132" s="27">
        <f t="shared" si="29"/>
        <v>65648</v>
      </c>
      <c r="H132" s="27">
        <f t="shared" si="29"/>
        <v>65648</v>
      </c>
      <c r="I132" s="27">
        <f t="shared" si="29"/>
        <v>65648</v>
      </c>
      <c r="J132" s="27">
        <f t="shared" si="29"/>
        <v>65648</v>
      </c>
    </row>
    <row r="133" spans="2:17" x14ac:dyDescent="0.25">
      <c r="B133" s="28" t="s">
        <v>93</v>
      </c>
      <c r="D133" s="55">
        <f>D134/AVERAGE(C132:D132)*-1</f>
        <v>4.5721452596773272E-2</v>
      </c>
      <c r="E133" s="55">
        <f>E134/AVERAGE(D132:E132)*-1</f>
        <v>3.8454058898631113E-2</v>
      </c>
      <c r="F133" s="69">
        <f>E133</f>
        <v>3.8454058898631113E-2</v>
      </c>
      <c r="G133" s="69">
        <f>F133</f>
        <v>3.8454058898631113E-2</v>
      </c>
      <c r="H133" s="69">
        <f>G133</f>
        <v>3.8454058898631113E-2</v>
      </c>
      <c r="I133" s="69">
        <f>H133</f>
        <v>3.8454058898631113E-2</v>
      </c>
      <c r="J133" s="69">
        <f>I133</f>
        <v>3.8454058898631113E-2</v>
      </c>
      <c r="Q133" s="65"/>
    </row>
    <row r="134" spans="2:17" x14ac:dyDescent="0.25">
      <c r="B134" s="48" t="s">
        <v>22</v>
      </c>
      <c r="C134" s="40"/>
      <c r="D134" s="40">
        <f>D129*-1</f>
        <v>-2406</v>
      </c>
      <c r="E134" s="40">
        <f>E129*-1</f>
        <v>-2274</v>
      </c>
      <c r="F134" s="25">
        <f>IF($C$7=1,F133*AVERAGE(E132:F132)*-1,0)</f>
        <v>-2524.4320585773353</v>
      </c>
      <c r="G134" s="25">
        <f t="shared" ref="G134:J134" si="30">IF($C$7=1,G133*AVERAGE(F132:G132)*-1,0)</f>
        <v>-2524.4320585773353</v>
      </c>
      <c r="H134" s="25">
        <f t="shared" si="30"/>
        <v>-2524.4320585773353</v>
      </c>
      <c r="I134" s="25">
        <f t="shared" si="30"/>
        <v>-2524.4320585773353</v>
      </c>
      <c r="J134" s="25">
        <f t="shared" si="30"/>
        <v>-2524.4320585773353</v>
      </c>
    </row>
    <row r="135" spans="2:17" x14ac:dyDescent="0.25">
      <c r="D135" s="27"/>
    </row>
    <row r="136" spans="2:17" x14ac:dyDescent="0.25">
      <c r="B136" s="70" t="s">
        <v>94</v>
      </c>
      <c r="D136" s="27"/>
      <c r="E136" s="27"/>
    </row>
    <row r="137" spans="2:17" ht="15" customHeight="1" x14ac:dyDescent="0.25">
      <c r="B137" s="28" t="s">
        <v>95</v>
      </c>
      <c r="C137" s="71">
        <v>0.03</v>
      </c>
      <c r="D137" s="72">
        <v>0.03</v>
      </c>
      <c r="E137" s="72">
        <v>0.03</v>
      </c>
      <c r="F137" s="73">
        <f>E137</f>
        <v>0.03</v>
      </c>
      <c r="G137" s="73">
        <f>F137</f>
        <v>0.03</v>
      </c>
      <c r="H137" s="73">
        <f>G137</f>
        <v>0.03</v>
      </c>
      <c r="I137" s="73">
        <f>H137</f>
        <v>0.03</v>
      </c>
      <c r="J137" s="73">
        <f>I137</f>
        <v>0.03</v>
      </c>
    </row>
    <row r="138" spans="2:17" ht="15" customHeight="1" x14ac:dyDescent="0.25">
      <c r="B138" s="28" t="s">
        <v>21</v>
      </c>
      <c r="C138" s="27">
        <f>C25</f>
        <v>2949</v>
      </c>
      <c r="D138" s="27">
        <f>D25</f>
        <v>4677</v>
      </c>
      <c r="E138" s="27">
        <f>E25</f>
        <v>4381</v>
      </c>
      <c r="F138" s="24">
        <f ca="1">IF($C$7=1,AVERAGE(E48,F48)*F137,0)</f>
        <v>3512.4978350330844</v>
      </c>
      <c r="G138" s="24">
        <f ca="1">IF($C$7=1,AVERAGE(F48,G48)*G137,0)</f>
        <v>3399.5168323577755</v>
      </c>
      <c r="H138" s="24">
        <f ca="1">IF($C$7=1,AVERAGE(G48,H48)*H137,0)</f>
        <v>3823.6780458298358</v>
      </c>
      <c r="I138" s="24">
        <f ca="1">IF($C$7=1,AVERAGE(H48,I48)*I137,0)</f>
        <v>4665.8362501462043</v>
      </c>
      <c r="J138" s="24">
        <f ca="1">IF($C$7=1,AVERAGE(I48,J48)*J137,0)</f>
        <v>5755.9661263274547</v>
      </c>
    </row>
    <row r="139" spans="2:17" x14ac:dyDescent="0.25">
      <c r="B139" s="74"/>
      <c r="C139" s="55"/>
      <c r="D139" s="55"/>
      <c r="E139" s="55"/>
      <c r="F139" s="55"/>
      <c r="G139" s="55"/>
    </row>
    <row r="140" spans="2:17" x14ac:dyDescent="0.25">
      <c r="B140" s="13" t="s">
        <v>96</v>
      </c>
      <c r="C140" s="13"/>
      <c r="D140" s="13"/>
      <c r="E140" s="13"/>
      <c r="F140" s="13"/>
      <c r="G140" s="13"/>
      <c r="H140" s="13"/>
      <c r="I140" s="13"/>
      <c r="J140" s="13"/>
    </row>
    <row r="141" spans="2:17" x14ac:dyDescent="0.25">
      <c r="B141" s="12"/>
    </row>
    <row r="142" spans="2:17" ht="15.75" thickBot="1" x14ac:dyDescent="0.3">
      <c r="B142" s="75" t="s">
        <v>97</v>
      </c>
      <c r="C142" s="76"/>
      <c r="D142" s="76"/>
      <c r="E142" s="76"/>
      <c r="F142" s="76"/>
      <c r="G142" s="76"/>
      <c r="H142" s="76"/>
    </row>
    <row r="143" spans="2:17" x14ac:dyDescent="0.25">
      <c r="C143" s="12"/>
      <c r="D143" s="77" t="s">
        <v>98</v>
      </c>
      <c r="E143" s="78"/>
      <c r="F143" s="78"/>
      <c r="G143" s="78"/>
      <c r="H143" s="78"/>
    </row>
    <row r="144" spans="2:17" ht="15.75" customHeight="1" thickBot="1" x14ac:dyDescent="0.3">
      <c r="C144" s="79">
        <f ca="1">F31</f>
        <v>94599.015721053787</v>
      </c>
      <c r="D144" s="80">
        <v>-0.05</v>
      </c>
      <c r="E144" s="80">
        <v>-2.5000000000000001E-2</v>
      </c>
      <c r="F144" s="80">
        <v>0</v>
      </c>
      <c r="G144" s="80">
        <v>2.5000000000000001E-2</v>
      </c>
      <c r="H144" s="80">
        <v>0.05</v>
      </c>
    </row>
    <row r="145" spans="2:15" x14ac:dyDescent="0.25">
      <c r="B145" s="81"/>
      <c r="C145" s="82">
        <v>0.39</v>
      </c>
      <c r="D145" s="83">
        <v>103797.4457953805</v>
      </c>
      <c r="E145" s="83">
        <v>106200.76534132597</v>
      </c>
      <c r="F145" s="83">
        <v>108604.08488727138</v>
      </c>
      <c r="G145" s="83">
        <v>111007.4044332169</v>
      </c>
      <c r="H145" s="83">
        <v>113410.72397916237</v>
      </c>
    </row>
    <row r="146" spans="2:15" x14ac:dyDescent="0.25">
      <c r="B146" s="84" t="s">
        <v>99</v>
      </c>
      <c r="C146" s="82">
        <v>0.38500000000000001</v>
      </c>
      <c r="D146" s="83">
        <v>100996.66483260492</v>
      </c>
      <c r="E146" s="83">
        <v>103326.27961637192</v>
      </c>
      <c r="F146" s="83">
        <v>105655.89440013902</v>
      </c>
      <c r="G146" s="83">
        <v>107985.50918390622</v>
      </c>
      <c r="H146" s="83">
        <v>110315.1239676734</v>
      </c>
    </row>
    <row r="147" spans="2:15" x14ac:dyDescent="0.25">
      <c r="B147" s="84" t="s">
        <v>100</v>
      </c>
      <c r="C147" s="82">
        <v>0.38</v>
      </c>
      <c r="D147" s="83">
        <v>98195.883869829151</v>
      </c>
      <c r="E147" s="83">
        <v>100451.79389141781</v>
      </c>
      <c r="F147" s="83">
        <v>102707.70391300666</v>
      </c>
      <c r="G147" s="83">
        <v>104963.6139345955</v>
      </c>
      <c r="H147" s="83">
        <v>107219.52395618438</v>
      </c>
    </row>
    <row r="148" spans="2:15" x14ac:dyDescent="0.25">
      <c r="B148" s="84" t="s">
        <v>101</v>
      </c>
      <c r="C148" s="82">
        <v>0.375</v>
      </c>
      <c r="D148" s="83">
        <v>95395.10290705337</v>
      </c>
      <c r="E148" s="83">
        <v>97577.308166463743</v>
      </c>
      <c r="F148" s="83">
        <v>99759.513425874262</v>
      </c>
      <c r="G148" s="83">
        <v>101941.71868528481</v>
      </c>
      <c r="H148" s="83">
        <v>104123.92394469537</v>
      </c>
    </row>
    <row r="149" spans="2:15" x14ac:dyDescent="0.25">
      <c r="C149" s="82">
        <v>0.37</v>
      </c>
      <c r="D149" s="83">
        <v>92594.321944277588</v>
      </c>
      <c r="E149" s="83">
        <v>94702.822441509663</v>
      </c>
      <c r="F149" s="83">
        <v>96811.322938741898</v>
      </c>
      <c r="G149" s="83">
        <v>98919.823435974104</v>
      </c>
      <c r="H149" s="83">
        <v>101028.3239332064</v>
      </c>
    </row>
    <row r="150" spans="2:15" x14ac:dyDescent="0.25">
      <c r="C150" s="82">
        <v>0.36499999999999999</v>
      </c>
      <c r="D150" s="83">
        <v>89793.540981501821</v>
      </c>
      <c r="E150" s="83">
        <v>91828.336716555597</v>
      </c>
      <c r="F150" s="83">
        <v>93863.13245160949</v>
      </c>
      <c r="G150" s="83">
        <v>95897.928186663412</v>
      </c>
      <c r="H150" s="83">
        <v>97932.723921717377</v>
      </c>
    </row>
    <row r="152" spans="2:15" x14ac:dyDescent="0.25">
      <c r="B152" s="13" t="s">
        <v>102</v>
      </c>
      <c r="C152" s="13"/>
      <c r="D152" s="13"/>
      <c r="E152" s="13"/>
      <c r="F152" s="13"/>
      <c r="G152" s="13"/>
      <c r="H152" s="13"/>
      <c r="I152" s="13"/>
      <c r="J152" s="13"/>
    </row>
    <row r="153" spans="2:15" ht="15.75" thickBot="1" x14ac:dyDescent="0.3"/>
    <row r="154" spans="2:15" ht="15.75" thickBot="1" x14ac:dyDescent="0.3">
      <c r="B154" t="s">
        <v>103</v>
      </c>
      <c r="C154" s="85" t="str">
        <f>C12</f>
        <v>Base case</v>
      </c>
      <c r="E154" s="86" t="s">
        <v>104</v>
      </c>
      <c r="F154" s="38">
        <f t="shared" ref="F154:J155" si="31">F15</f>
        <v>2026</v>
      </c>
      <c r="G154" s="38">
        <f t="shared" si="31"/>
        <v>2027</v>
      </c>
      <c r="H154" s="38">
        <f t="shared" si="31"/>
        <v>2028</v>
      </c>
      <c r="I154" s="38">
        <f t="shared" si="31"/>
        <v>2029</v>
      </c>
      <c r="J154" s="38">
        <f t="shared" si="31"/>
        <v>2030</v>
      </c>
    </row>
    <row r="155" spans="2:15" x14ac:dyDescent="0.25">
      <c r="D155" s="87"/>
      <c r="E155" s="88" t="s">
        <v>105</v>
      </c>
      <c r="F155" s="39">
        <f t="shared" si="31"/>
        <v>46387</v>
      </c>
      <c r="G155" s="39">
        <f t="shared" si="31"/>
        <v>46752</v>
      </c>
      <c r="H155" s="39">
        <f t="shared" si="31"/>
        <v>47118</v>
      </c>
      <c r="I155" s="39">
        <f t="shared" si="31"/>
        <v>47483</v>
      </c>
      <c r="J155" s="39">
        <f t="shared" si="31"/>
        <v>47848</v>
      </c>
    </row>
    <row r="156" spans="2:15" x14ac:dyDescent="0.25">
      <c r="B156" s="28" t="s">
        <v>33</v>
      </c>
      <c r="E156" s="89" t="str">
        <f t="shared" ref="E156:J159" ca="1" si="32">OFFSET(E$161,MATCH($C$12,$B$162:$B$164,0)+MATCH($B156,$B$161:$B$176,0)-1,0)</f>
        <v>NM</v>
      </c>
      <c r="F156" s="90">
        <f t="shared" ca="1" si="32"/>
        <v>0.12293134</v>
      </c>
      <c r="G156" s="90">
        <f t="shared" ca="1" si="32"/>
        <v>0.11241292999999999</v>
      </c>
      <c r="H156" s="90">
        <f t="shared" ca="1" si="32"/>
        <v>0.12688959999999999</v>
      </c>
      <c r="I156" s="90">
        <f t="shared" ca="1" si="32"/>
        <v>0.12688959999999999</v>
      </c>
      <c r="J156" s="90">
        <f t="shared" ca="1" si="32"/>
        <v>0.12688959999999999</v>
      </c>
      <c r="L156" s="91"/>
      <c r="M156" s="91"/>
      <c r="N156" s="91"/>
      <c r="O156" s="91"/>
    </row>
    <row r="157" spans="2:15" x14ac:dyDescent="0.25">
      <c r="B157" s="28" t="s">
        <v>34</v>
      </c>
      <c r="E157" s="89" t="str">
        <f t="shared" ca="1" si="32"/>
        <v>NM</v>
      </c>
      <c r="F157" s="90">
        <f t="shared" ca="1" si="32"/>
        <v>0.35099999999999998</v>
      </c>
      <c r="G157" s="90">
        <f t="shared" ca="1" si="32"/>
        <v>0.36</v>
      </c>
      <c r="H157" s="90">
        <f t="shared" ca="1" si="32"/>
        <v>0.37</v>
      </c>
      <c r="I157" s="90">
        <f t="shared" ca="1" si="32"/>
        <v>0.37</v>
      </c>
      <c r="J157" s="90">
        <f t="shared" ca="1" si="32"/>
        <v>0.37</v>
      </c>
      <c r="L157" s="91"/>
      <c r="M157" s="91"/>
      <c r="N157" s="91"/>
      <c r="O157" s="91"/>
    </row>
    <row r="158" spans="2:15" x14ac:dyDescent="0.25">
      <c r="B158" s="28" t="s">
        <v>106</v>
      </c>
      <c r="E158" s="89" t="str">
        <f t="shared" ca="1" si="32"/>
        <v>NM</v>
      </c>
      <c r="F158" s="90">
        <f t="shared" ca="1" si="32"/>
        <v>0.15</v>
      </c>
      <c r="G158" s="90">
        <f t="shared" ca="1" si="32"/>
        <v>0.155</v>
      </c>
      <c r="H158" s="90">
        <f t="shared" ca="1" si="32"/>
        <v>0.157</v>
      </c>
      <c r="I158" s="90">
        <f t="shared" ca="1" si="32"/>
        <v>0.157</v>
      </c>
      <c r="J158" s="90">
        <f t="shared" ca="1" si="32"/>
        <v>0.157</v>
      </c>
      <c r="L158" s="91"/>
      <c r="M158" s="91"/>
      <c r="N158" s="91"/>
      <c r="O158" s="91"/>
    </row>
    <row r="159" spans="2:15" x14ac:dyDescent="0.25">
      <c r="B159" s="28" t="s">
        <v>36</v>
      </c>
      <c r="E159" s="89" t="str">
        <f t="shared" ca="1" si="32"/>
        <v>NM</v>
      </c>
      <c r="F159" s="90">
        <f t="shared" ca="1" si="32"/>
        <v>7.5946229011548919E-2</v>
      </c>
      <c r="G159" s="90">
        <f t="shared" ca="1" si="32"/>
        <v>7.4649783165789962E-2</v>
      </c>
      <c r="H159" s="90">
        <f t="shared" ca="1" si="32"/>
        <v>6.6244096191742818E-2</v>
      </c>
      <c r="I159" s="90">
        <f t="shared" ca="1" si="32"/>
        <v>6.6244096191742818E-2</v>
      </c>
      <c r="J159" s="90">
        <f t="shared" ca="1" si="32"/>
        <v>6.6244096191742818E-2</v>
      </c>
      <c r="L159" s="91"/>
      <c r="M159" s="91"/>
      <c r="N159" s="91"/>
      <c r="O159" s="91"/>
    </row>
    <row r="160" spans="2:15" x14ac:dyDescent="0.25">
      <c r="E160" s="92"/>
    </row>
    <row r="161" spans="2:18" x14ac:dyDescent="0.25">
      <c r="B161" s="48" t="s">
        <v>33</v>
      </c>
      <c r="E161" s="92"/>
    </row>
    <row r="162" spans="2:18" x14ac:dyDescent="0.25">
      <c r="B162" s="67" t="s">
        <v>107</v>
      </c>
      <c r="E162" s="93">
        <v>2.5000000000000001E-2</v>
      </c>
      <c r="F162" s="33">
        <f>F163+$E$162</f>
        <v>0.14793133999999999</v>
      </c>
      <c r="G162" s="33">
        <f>G163+$E$162</f>
        <v>0.13741292999999999</v>
      </c>
      <c r="H162" s="33">
        <f>H163+$E$162</f>
        <v>0.15188959999999999</v>
      </c>
      <c r="I162" s="33">
        <f>I163+$E$162</f>
        <v>0.15188959999999999</v>
      </c>
      <c r="J162" s="33">
        <f>J163+$E$162</f>
        <v>0.15188959999999999</v>
      </c>
    </row>
    <row r="163" spans="2:18" x14ac:dyDescent="0.25">
      <c r="B163" s="67" t="s">
        <v>10</v>
      </c>
      <c r="E163" s="94" t="s">
        <v>108</v>
      </c>
      <c r="F163" s="34">
        <f>0.12293134</f>
        <v>0.12293134</v>
      </c>
      <c r="G163" s="34">
        <f>0.11241293</f>
        <v>0.11241292999999999</v>
      </c>
      <c r="H163" s="34">
        <f>0.1268896</f>
        <v>0.12688959999999999</v>
      </c>
      <c r="I163" s="33">
        <f>H163</f>
        <v>0.12688959999999999</v>
      </c>
      <c r="J163" s="33">
        <f>I163</f>
        <v>0.12688959999999999</v>
      </c>
      <c r="N163" s="34"/>
      <c r="O163" s="34"/>
      <c r="P163" s="34"/>
      <c r="Q163" s="34"/>
      <c r="R163" s="34"/>
    </row>
    <row r="164" spans="2:18" x14ac:dyDescent="0.25">
      <c r="B164" s="67" t="s">
        <v>109</v>
      </c>
      <c r="E164" s="93">
        <v>-2.5000000000000001E-2</v>
      </c>
      <c r="F164" s="33">
        <f>F163+$E$164</f>
        <v>9.7931340000000006E-2</v>
      </c>
      <c r="G164" s="33">
        <f>G163+$E$164</f>
        <v>8.741293E-2</v>
      </c>
      <c r="H164" s="33">
        <f>H163+$E$164</f>
        <v>0.1018896</v>
      </c>
      <c r="I164" s="33">
        <f>I163+$E$164</f>
        <v>0.1018896</v>
      </c>
      <c r="J164" s="33">
        <f>J163+$E$164</f>
        <v>0.1018896</v>
      </c>
      <c r="N164" s="34"/>
      <c r="O164" s="34"/>
      <c r="P164" s="34"/>
      <c r="Q164" s="34"/>
      <c r="R164" s="34"/>
    </row>
    <row r="165" spans="2:18" x14ac:dyDescent="0.25">
      <c r="B165" s="48" t="s">
        <v>34</v>
      </c>
      <c r="E165" s="94"/>
      <c r="F165" s="34"/>
      <c r="G165" s="34"/>
      <c r="H165" s="34"/>
      <c r="I165" s="34"/>
      <c r="J165" s="34"/>
      <c r="N165" s="34"/>
      <c r="O165" s="34"/>
      <c r="P165" s="34"/>
      <c r="Q165" s="34"/>
      <c r="R165" s="34"/>
    </row>
    <row r="166" spans="2:18" x14ac:dyDescent="0.25">
      <c r="B166" s="67" t="s">
        <v>107</v>
      </c>
      <c r="E166" s="93">
        <v>0.01</v>
      </c>
      <c r="F166" s="33">
        <f>F167+$E$166</f>
        <v>0.36099999999999999</v>
      </c>
      <c r="G166" s="33">
        <f>G167+$E$166</f>
        <v>0.37</v>
      </c>
      <c r="H166" s="33">
        <f>H167+$E$166</f>
        <v>0.38</v>
      </c>
      <c r="I166" s="33">
        <f>I167+$E$166</f>
        <v>0.38</v>
      </c>
      <c r="J166" s="33">
        <f>J167+$E$166</f>
        <v>0.38</v>
      </c>
    </row>
    <row r="167" spans="2:18" x14ac:dyDescent="0.25">
      <c r="B167" s="67" t="s">
        <v>10</v>
      </c>
      <c r="E167" s="94" t="s">
        <v>108</v>
      </c>
      <c r="F167" s="34">
        <v>0.35099999999999998</v>
      </c>
      <c r="G167" s="34">
        <v>0.36</v>
      </c>
      <c r="H167" s="34">
        <v>0.37</v>
      </c>
      <c r="I167" s="33">
        <f>H167</f>
        <v>0.37</v>
      </c>
      <c r="J167" s="33">
        <f>I167</f>
        <v>0.37</v>
      </c>
    </row>
    <row r="168" spans="2:18" x14ac:dyDescent="0.25">
      <c r="B168" s="67" t="s">
        <v>109</v>
      </c>
      <c r="E168" s="93">
        <v>-0.01</v>
      </c>
      <c r="F168" s="33">
        <f>F167+$E$168</f>
        <v>0.34099999999999997</v>
      </c>
      <c r="G168" s="33">
        <f>G167+$E$168</f>
        <v>0.35</v>
      </c>
      <c r="H168" s="33">
        <f>H167+$E$168</f>
        <v>0.36</v>
      </c>
      <c r="I168" s="33">
        <f>I167+$E$168</f>
        <v>0.36</v>
      </c>
      <c r="J168" s="33">
        <f>J167+$E$168</f>
        <v>0.36</v>
      </c>
    </row>
    <row r="169" spans="2:18" x14ac:dyDescent="0.25">
      <c r="B169" s="48" t="s">
        <v>106</v>
      </c>
      <c r="E169" s="93"/>
      <c r="F169" s="33"/>
      <c r="G169" s="33"/>
      <c r="H169" s="33"/>
      <c r="I169" s="33"/>
      <c r="J169" s="33"/>
    </row>
    <row r="170" spans="2:18" x14ac:dyDescent="0.25">
      <c r="B170" s="67" t="s">
        <v>107</v>
      </c>
      <c r="E170" s="93">
        <v>-0.01</v>
      </c>
      <c r="F170" s="33">
        <f>F171+$E$166</f>
        <v>0.16</v>
      </c>
      <c r="G170" s="33">
        <f>G171+$E$166</f>
        <v>0.16500000000000001</v>
      </c>
      <c r="H170" s="33">
        <f>H171+$E$166</f>
        <v>0.16700000000000001</v>
      </c>
      <c r="I170" s="33">
        <f>I171+$E$166</f>
        <v>0.16700000000000001</v>
      </c>
      <c r="J170" s="33">
        <f>J171+$E$166</f>
        <v>0.16700000000000001</v>
      </c>
    </row>
    <row r="171" spans="2:18" x14ac:dyDescent="0.25">
      <c r="B171" s="67" t="s">
        <v>10</v>
      </c>
      <c r="E171" s="94" t="s">
        <v>108</v>
      </c>
      <c r="F171" s="34">
        <v>0.15</v>
      </c>
      <c r="G171" s="34">
        <v>0.155</v>
      </c>
      <c r="H171" s="34">
        <v>0.157</v>
      </c>
      <c r="I171" s="33">
        <f>H171</f>
        <v>0.157</v>
      </c>
      <c r="J171" s="33">
        <f>I171</f>
        <v>0.157</v>
      </c>
    </row>
    <row r="172" spans="2:18" x14ac:dyDescent="0.25">
      <c r="B172" s="67" t="s">
        <v>109</v>
      </c>
      <c r="E172" s="93">
        <v>0.01</v>
      </c>
      <c r="F172" s="33">
        <f>F171+$E$168</f>
        <v>0.13999999999999999</v>
      </c>
      <c r="G172" s="33">
        <f>G171+$E$168</f>
        <v>0.14499999999999999</v>
      </c>
      <c r="H172" s="33">
        <f>H171+$E$168</f>
        <v>0.14699999999999999</v>
      </c>
      <c r="I172" s="33">
        <f>I171+$E$168</f>
        <v>0.14699999999999999</v>
      </c>
      <c r="J172" s="33">
        <f>J171+$E$168</f>
        <v>0.14699999999999999</v>
      </c>
    </row>
    <row r="173" spans="2:18" x14ac:dyDescent="0.25">
      <c r="B173" s="48" t="s">
        <v>36</v>
      </c>
      <c r="E173" s="94"/>
      <c r="F173" s="95"/>
      <c r="G173" s="95"/>
      <c r="H173" s="95"/>
      <c r="I173" s="95"/>
      <c r="J173" s="95"/>
    </row>
    <row r="174" spans="2:18" x14ac:dyDescent="0.25">
      <c r="B174" s="67" t="s">
        <v>107</v>
      </c>
      <c r="E174" s="93">
        <v>-0.01</v>
      </c>
      <c r="F174" s="33">
        <f>F175+$E$174</f>
        <v>6.5946229011548924E-2</v>
      </c>
      <c r="G174" s="33">
        <f>G175+$E$174</f>
        <v>6.4649783165789967E-2</v>
      </c>
      <c r="H174" s="33">
        <f>H175+$E$174</f>
        <v>5.6244096191742816E-2</v>
      </c>
      <c r="I174" s="33">
        <f>I175+$E$174</f>
        <v>5.6244096191742816E-2</v>
      </c>
      <c r="J174" s="33">
        <f>J175+$E$174</f>
        <v>5.6244096191742816E-2</v>
      </c>
    </row>
    <row r="175" spans="2:18" x14ac:dyDescent="0.25">
      <c r="B175" s="67" t="s">
        <v>10</v>
      </c>
      <c r="E175" s="94" t="s">
        <v>108</v>
      </c>
      <c r="F175" s="34">
        <v>7.5946229011548919E-2</v>
      </c>
      <c r="G175" s="34">
        <v>7.4649783165789962E-2</v>
      </c>
      <c r="H175" s="34">
        <v>6.6244096191742818E-2</v>
      </c>
      <c r="I175" s="33">
        <f>H175</f>
        <v>6.6244096191742818E-2</v>
      </c>
      <c r="J175" s="33">
        <f>I175</f>
        <v>6.6244096191742818E-2</v>
      </c>
    </row>
    <row r="176" spans="2:18" ht="15.75" thickBot="1" x14ac:dyDescent="0.3">
      <c r="B176" s="67" t="s">
        <v>109</v>
      </c>
      <c r="E176" s="96">
        <v>0.01</v>
      </c>
      <c r="F176" s="33">
        <f>F175+$E$176</f>
        <v>8.5946229011548914E-2</v>
      </c>
      <c r="G176" s="33">
        <f>G175+$E$176</f>
        <v>8.4649783165789957E-2</v>
      </c>
      <c r="H176" s="33">
        <f>H175+$E$176</f>
        <v>7.6244096191742813E-2</v>
      </c>
      <c r="I176" s="33">
        <f>I175+$E$176</f>
        <v>7.6244096191742813E-2</v>
      </c>
      <c r="J176" s="33">
        <f>J175+$E$176</f>
        <v>7.6244096191742813E-2</v>
      </c>
    </row>
    <row r="178" spans="2:12" x14ac:dyDescent="0.25">
      <c r="B178" s="13" t="s">
        <v>110</v>
      </c>
      <c r="C178" s="13"/>
      <c r="D178" s="13"/>
      <c r="E178" s="13"/>
      <c r="F178" s="13"/>
      <c r="G178" s="13"/>
      <c r="H178" s="13"/>
      <c r="I178" s="13"/>
      <c r="J178" s="13"/>
    </row>
    <row r="179" spans="2:12" x14ac:dyDescent="0.25">
      <c r="B179" s="36" t="str">
        <f t="shared" ref="B179:J180" si="33">B15</f>
        <v xml:space="preserve">Fiscal year  </v>
      </c>
      <c r="C179" s="37">
        <f t="shared" si="33"/>
        <v>2023</v>
      </c>
      <c r="D179" s="37">
        <f t="shared" si="33"/>
        <v>2024</v>
      </c>
      <c r="E179" s="37">
        <f t="shared" si="33"/>
        <v>2025</v>
      </c>
      <c r="F179" s="38">
        <f t="shared" si="33"/>
        <v>2026</v>
      </c>
      <c r="G179" s="38">
        <f t="shared" si="33"/>
        <v>2027</v>
      </c>
      <c r="H179" s="38">
        <f t="shared" si="33"/>
        <v>2028</v>
      </c>
      <c r="I179" s="38">
        <f t="shared" si="33"/>
        <v>2029</v>
      </c>
      <c r="J179" s="38">
        <f t="shared" si="33"/>
        <v>2030</v>
      </c>
    </row>
    <row r="180" spans="2:12" x14ac:dyDescent="0.25">
      <c r="B180" s="14" t="str">
        <f t="shared" si="33"/>
        <v>Fiscal year end date</v>
      </c>
      <c r="C180" s="39">
        <f t="shared" si="33"/>
        <v>45291</v>
      </c>
      <c r="D180" s="39">
        <f t="shared" si="33"/>
        <v>45657</v>
      </c>
      <c r="E180" s="39">
        <f t="shared" si="33"/>
        <v>46022</v>
      </c>
      <c r="F180" s="39">
        <f t="shared" si="33"/>
        <v>46387</v>
      </c>
      <c r="G180" s="39">
        <f t="shared" si="33"/>
        <v>46752</v>
      </c>
      <c r="H180" s="39">
        <f t="shared" si="33"/>
        <v>47118</v>
      </c>
      <c r="I180" s="39">
        <f t="shared" si="33"/>
        <v>47483</v>
      </c>
      <c r="J180" s="39">
        <f t="shared" si="33"/>
        <v>47848</v>
      </c>
    </row>
    <row r="181" spans="2:12" x14ac:dyDescent="0.25">
      <c r="F181" s="34"/>
      <c r="G181" s="34"/>
      <c r="H181" s="34"/>
      <c r="I181" s="33"/>
      <c r="J181" s="33"/>
    </row>
    <row r="182" spans="2:12" x14ac:dyDescent="0.25">
      <c r="B182" t="s">
        <v>27</v>
      </c>
      <c r="C182" s="97">
        <f t="shared" ref="C182:J182" si="34">C31</f>
        <v>30425</v>
      </c>
      <c r="D182" s="97">
        <f t="shared" si="34"/>
        <v>59248</v>
      </c>
      <c r="E182" s="97">
        <f t="shared" si="34"/>
        <v>77670</v>
      </c>
      <c r="F182" s="97">
        <f t="shared" ca="1" si="34"/>
        <v>94599.015721053787</v>
      </c>
      <c r="G182" s="97">
        <f t="shared" ca="1" si="34"/>
        <v>107312.47853524234</v>
      </c>
      <c r="H182" s="97">
        <f t="shared" ca="1" si="34"/>
        <v>133390.26418230077</v>
      </c>
      <c r="I182" s="97">
        <f t="shared" ca="1" si="34"/>
        <v>149373.25538022036</v>
      </c>
      <c r="J182" s="97">
        <f t="shared" ca="1" si="34"/>
        <v>167499.18592915198</v>
      </c>
    </row>
    <row r="183" spans="2:12" x14ac:dyDescent="0.25">
      <c r="B183" t="s">
        <v>111</v>
      </c>
      <c r="C183" s="98">
        <v>10304</v>
      </c>
      <c r="D183" s="98">
        <v>10473</v>
      </c>
      <c r="E183" s="98">
        <v>10656</v>
      </c>
      <c r="F183" s="97">
        <f ca="1">E183+(-F189+F190)/F191</f>
        <v>10760.095735217999</v>
      </c>
      <c r="G183" s="97">
        <f t="shared" ref="G183:J183" ca="1" si="35">F183+(-G189+G190)/G191</f>
        <v>10860.78916288266</v>
      </c>
      <c r="H183" s="97">
        <f t="shared" ca="1" si="35"/>
        <v>10959.459055424972</v>
      </c>
      <c r="I183" s="97">
        <f t="shared" ca="1" si="35"/>
        <v>11056.146077806752</v>
      </c>
      <c r="J183" s="97">
        <f t="shared" ca="1" si="35"/>
        <v>11150.890077786749</v>
      </c>
    </row>
    <row r="184" spans="2:12" x14ac:dyDescent="0.25">
      <c r="B184" s="12" t="s">
        <v>112</v>
      </c>
      <c r="C184" s="99">
        <f t="shared" ref="C184:J184" si="36">C182/C183</f>
        <v>2.9527368012422359</v>
      </c>
      <c r="D184" s="99">
        <f t="shared" si="36"/>
        <v>5.6572137878353859</v>
      </c>
      <c r="E184" s="99">
        <f t="shared" si="36"/>
        <v>7.2888513513513518</v>
      </c>
      <c r="F184" s="99">
        <f t="shared" ca="1" si="36"/>
        <v>8.791651863415062</v>
      </c>
      <c r="G184" s="99">
        <f t="shared" ca="1" si="36"/>
        <v>9.8807256936713763</v>
      </c>
      <c r="H184" s="99">
        <f t="shared" ca="1" si="36"/>
        <v>12.17124526928837</v>
      </c>
      <c r="I184" s="99">
        <f t="shared" ca="1" si="36"/>
        <v>13.510427080921138</v>
      </c>
      <c r="J184" s="99">
        <f t="shared" ca="1" si="36"/>
        <v>15.021149411455552</v>
      </c>
    </row>
    <row r="185" spans="2:12" x14ac:dyDescent="0.25">
      <c r="C185" s="6"/>
      <c r="D185" s="6"/>
      <c r="E185" s="6"/>
      <c r="F185" s="110"/>
      <c r="G185" s="110"/>
      <c r="H185" s="110"/>
      <c r="I185" s="110"/>
      <c r="J185" s="110"/>
      <c r="L185" s="111"/>
    </row>
    <row r="186" spans="2:12" x14ac:dyDescent="0.25">
      <c r="B186" t="s">
        <v>113</v>
      </c>
      <c r="C186" s="98">
        <v>10492</v>
      </c>
      <c r="D186" s="98">
        <v>10721</v>
      </c>
      <c r="E186" s="98">
        <v>10827</v>
      </c>
      <c r="F186" s="97">
        <f ca="1">F183+E186-E183</f>
        <v>10931.095735217998</v>
      </c>
      <c r="G186" s="97">
        <f t="shared" ref="G186:J186" ca="1" si="37">G183+F186-F183</f>
        <v>11031.78916288266</v>
      </c>
      <c r="H186" s="97">
        <f t="shared" ca="1" si="37"/>
        <v>11130.459055424972</v>
      </c>
      <c r="I186" s="97">
        <f t="shared" ca="1" si="37"/>
        <v>11227.14607780675</v>
      </c>
      <c r="J186" s="97">
        <f t="shared" ca="1" si="37"/>
        <v>11321.890077786749</v>
      </c>
    </row>
    <row r="187" spans="2:12" x14ac:dyDescent="0.25">
      <c r="B187" s="12" t="s">
        <v>114</v>
      </c>
      <c r="C187" s="99">
        <f>C182/C186</f>
        <v>2.8998284407167367</v>
      </c>
      <c r="D187" s="99">
        <f t="shared" ref="D187:J187" si="38">D182/D186</f>
        <v>5.5263501539035538</v>
      </c>
      <c r="E187" s="99">
        <f t="shared" si="38"/>
        <v>7.1737323358270988</v>
      </c>
      <c r="F187" s="99">
        <f t="shared" ca="1" si="38"/>
        <v>8.6541201369477534</v>
      </c>
      <c r="G187" s="99">
        <f t="shared" ca="1" si="38"/>
        <v>9.7275679357890361</v>
      </c>
      <c r="H187" s="99">
        <f t="shared" ca="1" si="38"/>
        <v>11.984255412833717</v>
      </c>
      <c r="I187" s="99">
        <f t="shared" ca="1" si="38"/>
        <v>13.304650562576521</v>
      </c>
      <c r="J187" s="99">
        <f t="shared" ca="1" si="38"/>
        <v>14.794277702605591</v>
      </c>
    </row>
    <row r="188" spans="2:12" x14ac:dyDescent="0.25">
      <c r="F188" s="100"/>
    </row>
    <row r="189" spans="2:12" x14ac:dyDescent="0.25">
      <c r="B189" t="s">
        <v>115</v>
      </c>
      <c r="F189" s="97">
        <f>-(F121)</f>
        <v>0</v>
      </c>
      <c r="G189" s="97">
        <f>-(G121)</f>
        <v>0</v>
      </c>
      <c r="H189" s="97">
        <f>-(H121)</f>
        <v>0</v>
      </c>
      <c r="I189" s="97">
        <f>-(I121)</f>
        <v>0</v>
      </c>
      <c r="J189" s="97">
        <f>-(J121)</f>
        <v>0</v>
      </c>
    </row>
    <row r="190" spans="2:12" x14ac:dyDescent="0.25">
      <c r="B190" t="s">
        <v>116</v>
      </c>
      <c r="F190" s="101">
        <f ca="1">F35</f>
        <v>21860.104395779999</v>
      </c>
      <c r="G190" s="101">
        <f ca="1">G35</f>
        <v>24317.462781015511</v>
      </c>
      <c r="H190" s="101">
        <f ca="1">H35</f>
        <v>27403.095906313454</v>
      </c>
      <c r="I190" s="101">
        <f ca="1">I35</f>
        <v>30880.263784627205</v>
      </c>
      <c r="J190" s="101">
        <f ca="1">J35</f>
        <v>34798.648104153035</v>
      </c>
    </row>
    <row r="191" spans="2:12" x14ac:dyDescent="0.25">
      <c r="B191" t="s">
        <v>117</v>
      </c>
      <c r="F191" s="102">
        <v>210</v>
      </c>
      <c r="G191" s="103">
        <f>F191*(1+G192)</f>
        <v>241.49999999999997</v>
      </c>
      <c r="H191" s="103">
        <f>G191*(1+H192)</f>
        <v>277.72499999999997</v>
      </c>
      <c r="I191" s="103">
        <f>H191*(1+I192)</f>
        <v>319.38374999999996</v>
      </c>
      <c r="J191" s="103">
        <f>I191*(1+J192)</f>
        <v>367.29131249999995</v>
      </c>
    </row>
    <row r="192" spans="2:12" x14ac:dyDescent="0.25">
      <c r="B192" t="s">
        <v>118</v>
      </c>
      <c r="G192" s="104">
        <v>0.15</v>
      </c>
      <c r="H192" s="104">
        <v>0.15</v>
      </c>
      <c r="I192" s="104">
        <v>0.15</v>
      </c>
      <c r="J192" s="104">
        <v>0.15</v>
      </c>
    </row>
    <row r="193" spans="2:12" ht="15.75" thickBot="1" x14ac:dyDescent="0.3">
      <c r="B193" s="105" t="s">
        <v>119</v>
      </c>
      <c r="C193" s="76"/>
      <c r="D193" s="76"/>
      <c r="E193" s="76"/>
      <c r="F193" s="76"/>
      <c r="G193" s="76"/>
      <c r="H193" s="76"/>
      <c r="I193" s="76"/>
      <c r="J193" s="76"/>
    </row>
    <row r="194" spans="2:12" ht="15" customHeight="1" x14ac:dyDescent="0.25">
      <c r="B194" s="12" t="s">
        <v>120</v>
      </c>
      <c r="C194" s="12"/>
      <c r="D194" s="12"/>
      <c r="E194" s="81" t="s">
        <v>121</v>
      </c>
      <c r="F194" s="106">
        <f>C11</f>
        <v>10734.92087</v>
      </c>
      <c r="G194" s="107">
        <f ca="1">F196</f>
        <v>10839.016605217999</v>
      </c>
      <c r="H194" s="107">
        <f t="shared" ref="H194:J194" ca="1" si="39">G196</f>
        <v>10939.71003288266</v>
      </c>
      <c r="I194" s="107">
        <f t="shared" ca="1" si="39"/>
        <v>11038.379925424972</v>
      </c>
      <c r="J194" s="107">
        <f t="shared" ca="1" si="39"/>
        <v>11135.066947806752</v>
      </c>
    </row>
    <row r="195" spans="2:12" x14ac:dyDescent="0.25">
      <c r="B195" t="s">
        <v>122</v>
      </c>
      <c r="F195" s="97">
        <f ca="1">(-F189+F190)/F191</f>
        <v>104.095735218</v>
      </c>
      <c r="G195" s="97">
        <f t="shared" ref="G195:J195" ca="1" si="40">(-G189+G190)/G191</f>
        <v>100.69342766466052</v>
      </c>
      <c r="H195" s="97">
        <f t="shared" ca="1" si="40"/>
        <v>98.669892542311487</v>
      </c>
      <c r="I195" s="97">
        <f t="shared" ca="1" si="40"/>
        <v>96.68702238178119</v>
      </c>
      <c r="J195" s="97">
        <f t="shared" ca="1" si="40"/>
        <v>94.743999979996914</v>
      </c>
    </row>
    <row r="196" spans="2:12" x14ac:dyDescent="0.25">
      <c r="B196" t="s">
        <v>123</v>
      </c>
      <c r="F196" s="97">
        <f ca="1">SUM(F194:F195)</f>
        <v>10839.016605217999</v>
      </c>
      <c r="G196" s="97">
        <f t="shared" ref="G196:J196" ca="1" si="41">SUM(G194:G195)</f>
        <v>10939.71003288266</v>
      </c>
      <c r="H196" s="97">
        <f t="shared" ca="1" si="41"/>
        <v>11038.379925424972</v>
      </c>
      <c r="I196" s="97">
        <f t="shared" ca="1" si="41"/>
        <v>11135.066947806752</v>
      </c>
      <c r="J196" s="97">
        <f t="shared" ca="1" si="41"/>
        <v>11229.810947786749</v>
      </c>
    </row>
    <row r="197" spans="2:12" x14ac:dyDescent="0.25">
      <c r="B197" s="12" t="s">
        <v>124</v>
      </c>
      <c r="C197" s="12"/>
      <c r="D197" s="12"/>
      <c r="E197" s="12"/>
      <c r="F197" s="107">
        <f ca="1">AVERAGE(F196,F194)</f>
        <v>10786.968737609001</v>
      </c>
      <c r="G197" s="107">
        <f t="shared" ref="G197:J197" ca="1" si="42">AVERAGE(G196,G194)</f>
        <v>10889.36331905033</v>
      </c>
      <c r="H197" s="107">
        <f t="shared" ca="1" si="42"/>
        <v>10989.044979153816</v>
      </c>
      <c r="I197" s="107">
        <f t="shared" ca="1" si="42"/>
        <v>11086.723436615863</v>
      </c>
      <c r="J197" s="107">
        <f t="shared" ca="1" si="42"/>
        <v>11182.438947796751</v>
      </c>
    </row>
    <row r="198" spans="2:12" ht="15.75" thickBot="1" x14ac:dyDescent="0.3">
      <c r="B198" s="105" t="s">
        <v>125</v>
      </c>
      <c r="C198" s="76"/>
      <c r="D198" s="76"/>
      <c r="E198" s="76"/>
      <c r="F198" s="76"/>
      <c r="G198" s="76"/>
      <c r="H198" s="76"/>
      <c r="I198" s="76"/>
      <c r="J198" s="76"/>
    </row>
    <row r="199" spans="2:12" x14ac:dyDescent="0.25">
      <c r="B199" s="12" t="s">
        <v>27</v>
      </c>
      <c r="C199" s="107">
        <f t="shared" ref="C199:J199" si="43">C31</f>
        <v>30425</v>
      </c>
      <c r="D199" s="107">
        <f t="shared" si="43"/>
        <v>59248</v>
      </c>
      <c r="E199" s="107">
        <f t="shared" si="43"/>
        <v>77670</v>
      </c>
      <c r="F199" s="107">
        <f t="shared" ca="1" si="43"/>
        <v>94599.015721053787</v>
      </c>
      <c r="G199" s="107">
        <f t="shared" ca="1" si="43"/>
        <v>107312.47853524234</v>
      </c>
      <c r="H199" s="107">
        <f t="shared" ca="1" si="43"/>
        <v>133390.26418230077</v>
      </c>
      <c r="I199" s="107">
        <f t="shared" ca="1" si="43"/>
        <v>149373.25538022036</v>
      </c>
      <c r="J199" s="107">
        <f t="shared" ca="1" si="43"/>
        <v>167499.18592915198</v>
      </c>
    </row>
    <row r="200" spans="2:12" x14ac:dyDescent="0.25">
      <c r="B200" s="28" t="s">
        <v>126</v>
      </c>
      <c r="D200" s="108">
        <f>D199/C199-1</f>
        <v>0.9473459326211997</v>
      </c>
      <c r="E200" s="109">
        <f t="shared" ref="E200:J200" si="44">E199/D199-1</f>
        <v>0.31093032676208487</v>
      </c>
      <c r="F200" s="109">
        <f t="shared" ca="1" si="44"/>
        <v>0.2179608049575612</v>
      </c>
      <c r="G200" s="109">
        <f t="shared" ca="1" si="44"/>
        <v>0.13439318281785306</v>
      </c>
      <c r="H200" s="109">
        <f t="shared" ca="1" si="44"/>
        <v>0.24300795213199988</v>
      </c>
      <c r="I200" s="109">
        <f t="shared" ca="1" si="44"/>
        <v>0.11982127253362429</v>
      </c>
      <c r="J200" s="109">
        <f t="shared" ca="1" si="44"/>
        <v>0.12134655901281111</v>
      </c>
    </row>
    <row r="202" spans="2:12" x14ac:dyDescent="0.25">
      <c r="L202" s="32"/>
    </row>
    <row r="203" spans="2:12" x14ac:dyDescent="0.25">
      <c r="F203" s="100"/>
    </row>
  </sheetData>
  <conditionalFormatting sqref="B42">
    <cfRule type="expression" dxfId="2" priority="3">
      <formula>#REF!=$B42</formula>
    </cfRule>
  </conditionalFormatting>
  <conditionalFormatting sqref="B159">
    <cfRule type="expression" dxfId="1" priority="1">
      <formula>#REF!=$B159</formula>
    </cfRule>
  </conditionalFormatting>
  <conditionalFormatting sqref="B173">
    <cfRule type="expression" dxfId="0" priority="2">
      <formula>#REF!=$B173</formula>
    </cfRule>
  </conditionalFormatting>
  <dataValidations count="2">
    <dataValidation type="list" allowBlank="1" showInputMessage="1" showErrorMessage="1" sqref="C7" xr:uid="{7202BB24-FD95-4D24-A1B5-2157D7D288D3}">
      <formula1>"0,1"</formula1>
    </dataValidation>
    <dataValidation type="list" allowBlank="1" showInputMessage="1" showErrorMessage="1" sqref="C12" xr:uid="{927C724E-C069-4869-ABC3-6DFFE54F5C31}">
      <formula1>$B$162:$B$164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 Statement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Amgad Bashir</dc:creator>
  <cp:lastModifiedBy>Amgad Bashir</cp:lastModifiedBy>
  <dcterms:created xsi:type="dcterms:W3CDTF">2026-02-08T20:27:52Z</dcterms:created>
  <dcterms:modified xsi:type="dcterms:W3CDTF">2026-02-16T18:57:02Z</dcterms:modified>
</cp:coreProperties>
</file>