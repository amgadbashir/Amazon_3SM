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20183161846bf14/WSP/"/>
    </mc:Choice>
  </mc:AlternateContent>
  <xr:revisionPtr revIDLastSave="43" documentId="8_{4FD795D7-F3A3-4B04-BA0E-A9A905CF37A3}" xr6:coauthVersionLast="47" xr6:coauthVersionMax="47" xr10:uidLastSave="{EFBE19A9-CB95-4F1E-B6E7-87117A9B2A57}"/>
  <bookViews>
    <workbookView xWindow="12375" yWindow="0" windowWidth="16530" windowHeight="15585" xr2:uid="{DC8294C0-150A-42D4-BC6E-A27B0595277D}"/>
  </bookViews>
  <sheets>
    <sheet name="Sheet1" sheetId="1" r:id="rId1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4" i="1" l="1"/>
  <c r="H191" i="1"/>
  <c r="I191" i="1" s="1"/>
  <c r="J191" i="1" s="1"/>
  <c r="K191" i="1" s="1"/>
  <c r="C180" i="1"/>
  <c r="C179" i="1"/>
  <c r="J176" i="1"/>
  <c r="I176" i="1"/>
  <c r="H176" i="1"/>
  <c r="G176" i="1"/>
  <c r="J175" i="1"/>
  <c r="J174" i="1" s="1"/>
  <c r="I174" i="1"/>
  <c r="H174" i="1"/>
  <c r="G174" i="1"/>
  <c r="J172" i="1"/>
  <c r="I172" i="1"/>
  <c r="H172" i="1"/>
  <c r="G172" i="1"/>
  <c r="J171" i="1"/>
  <c r="J170" i="1" s="1"/>
  <c r="I170" i="1"/>
  <c r="H170" i="1"/>
  <c r="G170" i="1"/>
  <c r="J168" i="1"/>
  <c r="I168" i="1"/>
  <c r="H168" i="1"/>
  <c r="G168" i="1"/>
  <c r="J167" i="1"/>
  <c r="J166" i="1" s="1"/>
  <c r="I166" i="1"/>
  <c r="H166" i="1"/>
  <c r="G166" i="1"/>
  <c r="J164" i="1"/>
  <c r="I164" i="1"/>
  <c r="H164" i="1"/>
  <c r="G164" i="1"/>
  <c r="J163" i="1"/>
  <c r="J156" i="1" s="1"/>
  <c r="J39" i="1" s="1"/>
  <c r="J100" i="1" s="1"/>
  <c r="I163" i="1"/>
  <c r="H163" i="1"/>
  <c r="G163" i="1"/>
  <c r="I162" i="1"/>
  <c r="H162" i="1"/>
  <c r="G162" i="1"/>
  <c r="I159" i="1"/>
  <c r="I42" i="1" s="1"/>
  <c r="H159" i="1"/>
  <c r="H42" i="1" s="1"/>
  <c r="G159" i="1"/>
  <c r="G42" i="1" s="1"/>
  <c r="F159" i="1"/>
  <c r="I158" i="1"/>
  <c r="H158" i="1"/>
  <c r="G158" i="1"/>
  <c r="F158" i="1"/>
  <c r="I157" i="1"/>
  <c r="I40" i="1" s="1"/>
  <c r="H157" i="1"/>
  <c r="H40" i="1" s="1"/>
  <c r="G157" i="1"/>
  <c r="G40" i="1" s="1"/>
  <c r="F157" i="1"/>
  <c r="I156" i="1"/>
  <c r="I39" i="1" s="1"/>
  <c r="H156" i="1"/>
  <c r="H39" i="1" s="1"/>
  <c r="G156" i="1"/>
  <c r="G39" i="1" s="1"/>
  <c r="G60" i="1" s="1"/>
  <c r="F156" i="1"/>
  <c r="D154" i="1"/>
  <c r="F138" i="1"/>
  <c r="E138" i="1"/>
  <c r="D138" i="1"/>
  <c r="G137" i="1"/>
  <c r="H137" i="1" s="1"/>
  <c r="I137" i="1" s="1"/>
  <c r="J137" i="1" s="1"/>
  <c r="K137" i="1" s="1"/>
  <c r="F132" i="1"/>
  <c r="E132" i="1"/>
  <c r="F129" i="1"/>
  <c r="F134" i="1" s="1"/>
  <c r="F133" i="1" s="1"/>
  <c r="G133" i="1" s="1"/>
  <c r="E129" i="1"/>
  <c r="E134" i="1" s="1"/>
  <c r="E133" i="1" s="1"/>
  <c r="D129" i="1"/>
  <c r="C127" i="1"/>
  <c r="C126" i="1"/>
  <c r="F122" i="1"/>
  <c r="G118" i="1" s="1"/>
  <c r="E122" i="1"/>
  <c r="D122" i="1"/>
  <c r="G121" i="1"/>
  <c r="G189" i="1" s="1"/>
  <c r="I120" i="1"/>
  <c r="J120" i="1" s="1"/>
  <c r="H120" i="1"/>
  <c r="G120" i="1"/>
  <c r="F115" i="1"/>
  <c r="G112" i="1" s="1"/>
  <c r="F109" i="1"/>
  <c r="F107" i="1" s="1"/>
  <c r="F108" i="1" s="1"/>
  <c r="G108" i="1" s="1"/>
  <c r="E109" i="1"/>
  <c r="D109" i="1"/>
  <c r="D107" i="1" s="1"/>
  <c r="D108" i="1" s="1"/>
  <c r="E107" i="1"/>
  <c r="E108" i="1" s="1"/>
  <c r="F104" i="1"/>
  <c r="G104" i="1" s="1"/>
  <c r="E104" i="1"/>
  <c r="D104" i="1"/>
  <c r="F102" i="1"/>
  <c r="E102" i="1"/>
  <c r="G99" i="1"/>
  <c r="C97" i="1"/>
  <c r="C96" i="1"/>
  <c r="H90" i="1"/>
  <c r="G90" i="1"/>
  <c r="G88" i="1"/>
  <c r="I85" i="1"/>
  <c r="I86" i="1" s="1"/>
  <c r="H85" i="1"/>
  <c r="H86" i="1" s="1"/>
  <c r="G85" i="1"/>
  <c r="G86" i="1" s="1"/>
  <c r="C74" i="1"/>
  <c r="C73" i="1"/>
  <c r="F70" i="1"/>
  <c r="F68" i="1"/>
  <c r="E68" i="1"/>
  <c r="H67" i="1"/>
  <c r="I67" i="1" s="1"/>
  <c r="J67" i="1" s="1"/>
  <c r="K67" i="1" s="1"/>
  <c r="G67" i="1"/>
  <c r="G64" i="1"/>
  <c r="K63" i="1"/>
  <c r="J63" i="1"/>
  <c r="I63" i="1"/>
  <c r="H63" i="1"/>
  <c r="G63" i="1"/>
  <c r="F61" i="1"/>
  <c r="E61" i="1"/>
  <c r="G59" i="1"/>
  <c r="G132" i="1" s="1"/>
  <c r="I58" i="1"/>
  <c r="J58" i="1" s="1"/>
  <c r="K58" i="1" s="1"/>
  <c r="H58" i="1"/>
  <c r="G58" i="1"/>
  <c r="F53" i="1"/>
  <c r="F52" i="1"/>
  <c r="E52" i="1"/>
  <c r="E115" i="1" s="1"/>
  <c r="F48" i="1"/>
  <c r="E48" i="1"/>
  <c r="C47" i="1"/>
  <c r="C46" i="1"/>
  <c r="J43" i="1"/>
  <c r="D42" i="1"/>
  <c r="J41" i="1"/>
  <c r="I41" i="1"/>
  <c r="H41" i="1"/>
  <c r="G41" i="1"/>
  <c r="D41" i="1"/>
  <c r="H27" i="1"/>
  <c r="I27" i="1" s="1"/>
  <c r="J27" i="1" s="1"/>
  <c r="K27" i="1" s="1"/>
  <c r="G27" i="1"/>
  <c r="D24" i="1"/>
  <c r="D34" i="1" s="1"/>
  <c r="D36" i="1" s="1"/>
  <c r="K23" i="1"/>
  <c r="J23" i="1"/>
  <c r="I23" i="1"/>
  <c r="H23" i="1"/>
  <c r="G23" i="1"/>
  <c r="F21" i="1"/>
  <c r="F42" i="1" s="1"/>
  <c r="E21" i="1"/>
  <c r="E42" i="1" s="1"/>
  <c r="D21" i="1"/>
  <c r="F20" i="1"/>
  <c r="F24" i="1" s="1"/>
  <c r="D20" i="1"/>
  <c r="D40" i="1" s="1"/>
  <c r="F19" i="1"/>
  <c r="E19" i="1"/>
  <c r="D19" i="1"/>
  <c r="F18" i="1"/>
  <c r="F41" i="1" s="1"/>
  <c r="E18" i="1"/>
  <c r="E41" i="1" s="1"/>
  <c r="D18" i="1"/>
  <c r="G16" i="1"/>
  <c r="G155" i="1" s="1"/>
  <c r="F16" i="1"/>
  <c r="F180" i="1" s="1"/>
  <c r="E16" i="1"/>
  <c r="E180" i="1" s="1"/>
  <c r="F15" i="1"/>
  <c r="G15" i="1" s="1"/>
  <c r="C2" i="1"/>
  <c r="G52" i="1" l="1"/>
  <c r="H52" i="1" s="1"/>
  <c r="F34" i="1"/>
  <c r="F36" i="1" s="1"/>
  <c r="F28" i="1"/>
  <c r="J85" i="1"/>
  <c r="J86" i="1" s="1"/>
  <c r="H108" i="1"/>
  <c r="H60" i="1"/>
  <c r="G82" i="1"/>
  <c r="H104" i="1"/>
  <c r="G101" i="1"/>
  <c r="G134" i="1"/>
  <c r="H133" i="1"/>
  <c r="K120" i="1"/>
  <c r="K90" i="1" s="1"/>
  <c r="J90" i="1"/>
  <c r="G179" i="1"/>
  <c r="H15" i="1"/>
  <c r="G126" i="1"/>
  <c r="G154" i="1"/>
  <c r="G96" i="1"/>
  <c r="G46" i="1"/>
  <c r="G73" i="1"/>
  <c r="F40" i="1"/>
  <c r="E47" i="1"/>
  <c r="E53" i="1"/>
  <c r="E70" i="1" s="1"/>
  <c r="G56" i="1"/>
  <c r="H56" i="1" s="1"/>
  <c r="I56" i="1" s="1"/>
  <c r="J56" i="1" s="1"/>
  <c r="F47" i="1"/>
  <c r="I90" i="1"/>
  <c r="E97" i="1"/>
  <c r="K163" i="1"/>
  <c r="K167" i="1"/>
  <c r="K171" i="1"/>
  <c r="K175" i="1"/>
  <c r="E15" i="1"/>
  <c r="G18" i="1"/>
  <c r="G107" i="1" s="1"/>
  <c r="G113" i="1" s="1"/>
  <c r="G35" i="1"/>
  <c r="K43" i="1"/>
  <c r="G47" i="1"/>
  <c r="G49" i="1"/>
  <c r="H64" i="1"/>
  <c r="F97" i="1"/>
  <c r="J157" i="1"/>
  <c r="J40" i="1" s="1"/>
  <c r="J159" i="1"/>
  <c r="J42" i="1" s="1"/>
  <c r="D16" i="1"/>
  <c r="E39" i="1"/>
  <c r="G97" i="1"/>
  <c r="E127" i="1"/>
  <c r="E20" i="1"/>
  <c r="D28" i="1"/>
  <c r="F39" i="1"/>
  <c r="H59" i="1"/>
  <c r="H121" i="1"/>
  <c r="F127" i="1"/>
  <c r="F46" i="1"/>
  <c r="G57" i="1"/>
  <c r="H57" i="1" s="1"/>
  <c r="I57" i="1" s="1"/>
  <c r="J57" i="1" s="1"/>
  <c r="F96" i="1"/>
  <c r="G127" i="1"/>
  <c r="G74" i="1"/>
  <c r="G89" i="1"/>
  <c r="G91" i="1" s="1"/>
  <c r="H16" i="1"/>
  <c r="F126" i="1"/>
  <c r="J162" i="1"/>
  <c r="J158" i="1"/>
  <c r="G180" i="1"/>
  <c r="F179" i="1"/>
  <c r="G115" i="1" l="1"/>
  <c r="G114" i="1" s="1"/>
  <c r="G81" i="1" s="1"/>
  <c r="D43" i="1"/>
  <c r="D31" i="1"/>
  <c r="I52" i="1"/>
  <c r="H115" i="1"/>
  <c r="K174" i="1"/>
  <c r="K176" i="1"/>
  <c r="K159" i="1"/>
  <c r="K42" i="1" s="1"/>
  <c r="G26" i="1"/>
  <c r="G129" i="1"/>
  <c r="H180" i="1"/>
  <c r="I16" i="1"/>
  <c r="H74" i="1"/>
  <c r="H127" i="1"/>
  <c r="H97" i="1"/>
  <c r="H47" i="1"/>
  <c r="H155" i="1"/>
  <c r="G22" i="1"/>
  <c r="G20" i="1"/>
  <c r="H18" i="1"/>
  <c r="G21" i="1"/>
  <c r="I133" i="1"/>
  <c r="K170" i="1"/>
  <c r="K158" i="1"/>
  <c r="K172" i="1"/>
  <c r="K41" i="1"/>
  <c r="K166" i="1"/>
  <c r="K168" i="1"/>
  <c r="K157" i="1"/>
  <c r="K40" i="1" s="1"/>
  <c r="K156" i="1"/>
  <c r="K39" i="1" s="1"/>
  <c r="K100" i="1" s="1"/>
  <c r="K85" i="1" s="1"/>
  <c r="K86" i="1" s="1"/>
  <c r="K162" i="1"/>
  <c r="K164" i="1"/>
  <c r="I104" i="1"/>
  <c r="H101" i="1"/>
  <c r="I108" i="1"/>
  <c r="E40" i="1"/>
  <c r="E24" i="1"/>
  <c r="G102" i="1"/>
  <c r="G109" i="1"/>
  <c r="G33" i="1" s="1"/>
  <c r="G77" i="1" s="1"/>
  <c r="G78" i="1"/>
  <c r="G65" i="1"/>
  <c r="G190" i="1"/>
  <c r="H35" i="1"/>
  <c r="E179" i="1"/>
  <c r="E126" i="1"/>
  <c r="E96" i="1"/>
  <c r="E46" i="1"/>
  <c r="D15" i="1"/>
  <c r="H89" i="1"/>
  <c r="I121" i="1"/>
  <c r="H189" i="1"/>
  <c r="I64" i="1"/>
  <c r="H126" i="1"/>
  <c r="H154" i="1"/>
  <c r="H96" i="1"/>
  <c r="H46" i="1"/>
  <c r="H73" i="1"/>
  <c r="H179" i="1"/>
  <c r="I15" i="1"/>
  <c r="F31" i="1"/>
  <c r="F43" i="1"/>
  <c r="D180" i="1"/>
  <c r="D127" i="1"/>
  <c r="D97" i="1"/>
  <c r="H132" i="1"/>
  <c r="H134" i="1" s="1"/>
  <c r="I59" i="1"/>
  <c r="H88" i="1"/>
  <c r="H49" i="1"/>
  <c r="I60" i="1"/>
  <c r="H82" i="1"/>
  <c r="H112" i="1" l="1"/>
  <c r="K57" i="1"/>
  <c r="H26" i="1"/>
  <c r="H129" i="1"/>
  <c r="I180" i="1"/>
  <c r="J16" i="1"/>
  <c r="I74" i="1"/>
  <c r="I127" i="1"/>
  <c r="I97" i="1"/>
  <c r="I47" i="1"/>
  <c r="I155" i="1"/>
  <c r="J64" i="1"/>
  <c r="I89" i="1"/>
  <c r="J121" i="1"/>
  <c r="I189" i="1"/>
  <c r="J133" i="1"/>
  <c r="H65" i="1"/>
  <c r="H99" i="1"/>
  <c r="H102" i="1" s="1"/>
  <c r="G51" i="1"/>
  <c r="H78" i="1"/>
  <c r="H190" i="1"/>
  <c r="H195" i="1" s="1"/>
  <c r="I35" i="1"/>
  <c r="H22" i="1"/>
  <c r="H20" i="1"/>
  <c r="I18" i="1"/>
  <c r="I107" i="1" s="1"/>
  <c r="I113" i="1" s="1"/>
  <c r="H21" i="1"/>
  <c r="F199" i="1"/>
  <c r="F119" i="1"/>
  <c r="F182" i="1"/>
  <c r="I126" i="1"/>
  <c r="I154" i="1"/>
  <c r="I96" i="1"/>
  <c r="I46" i="1"/>
  <c r="I73" i="1"/>
  <c r="I179" i="1"/>
  <c r="J15" i="1"/>
  <c r="I112" i="1"/>
  <c r="I49" i="1"/>
  <c r="J108" i="1"/>
  <c r="J52" i="1"/>
  <c r="I115" i="1"/>
  <c r="G183" i="1"/>
  <c r="G195" i="1"/>
  <c r="G196" i="1" s="1"/>
  <c r="J104" i="1"/>
  <c r="I101" i="1"/>
  <c r="G19" i="1"/>
  <c r="G24" i="1"/>
  <c r="J60" i="1"/>
  <c r="I82" i="1"/>
  <c r="E34" i="1"/>
  <c r="E36" i="1" s="1"/>
  <c r="E28" i="1"/>
  <c r="H91" i="1"/>
  <c r="H107" i="1"/>
  <c r="H113" i="1" s="1"/>
  <c r="D199" i="1"/>
  <c r="D119" i="1"/>
  <c r="D182" i="1"/>
  <c r="D179" i="1"/>
  <c r="D126" i="1"/>
  <c r="D96" i="1"/>
  <c r="I132" i="1"/>
  <c r="I134" i="1" s="1"/>
  <c r="J59" i="1"/>
  <c r="I88" i="1"/>
  <c r="K56" i="1"/>
  <c r="H114" i="1" l="1"/>
  <c r="H81" i="1" s="1"/>
  <c r="I26" i="1"/>
  <c r="I129" i="1"/>
  <c r="K52" i="1"/>
  <c r="K115" i="1" s="1"/>
  <c r="J115" i="1"/>
  <c r="I91" i="1"/>
  <c r="K108" i="1"/>
  <c r="G34" i="1"/>
  <c r="G36" i="1" s="1"/>
  <c r="K133" i="1"/>
  <c r="J134" i="1"/>
  <c r="J180" i="1"/>
  <c r="K16" i="1"/>
  <c r="J74" i="1"/>
  <c r="J127" i="1"/>
  <c r="J97" i="1"/>
  <c r="J47" i="1"/>
  <c r="J155" i="1"/>
  <c r="G197" i="1"/>
  <c r="H194" i="1"/>
  <c r="H196" i="1" s="1"/>
  <c r="I78" i="1"/>
  <c r="I190" i="1"/>
  <c r="I195" i="1" s="1"/>
  <c r="J35" i="1"/>
  <c r="I114" i="1"/>
  <c r="I81" i="1" s="1"/>
  <c r="J112" i="1"/>
  <c r="I99" i="1"/>
  <c r="I102" i="1" s="1"/>
  <c r="H51" i="1"/>
  <c r="I65" i="1"/>
  <c r="J82" i="1"/>
  <c r="K60" i="1"/>
  <c r="K82" i="1" s="1"/>
  <c r="G55" i="1"/>
  <c r="G50" i="1"/>
  <c r="I22" i="1"/>
  <c r="I20" i="1"/>
  <c r="J18" i="1"/>
  <c r="J107" i="1" s="1"/>
  <c r="J113" i="1" s="1"/>
  <c r="I21" i="1"/>
  <c r="H109" i="1"/>
  <c r="H33" i="1" s="1"/>
  <c r="H77" i="1" s="1"/>
  <c r="G186" i="1"/>
  <c r="H183" i="1"/>
  <c r="K64" i="1"/>
  <c r="E43" i="1"/>
  <c r="E31" i="1"/>
  <c r="I109" i="1"/>
  <c r="I33" i="1" s="1"/>
  <c r="I77" i="1" s="1"/>
  <c r="J126" i="1"/>
  <c r="J154" i="1"/>
  <c r="J96" i="1"/>
  <c r="J46" i="1"/>
  <c r="J73" i="1"/>
  <c r="J179" i="1"/>
  <c r="K15" i="1"/>
  <c r="H19" i="1"/>
  <c r="H24" i="1"/>
  <c r="J132" i="1"/>
  <c r="K59" i="1"/>
  <c r="J88" i="1"/>
  <c r="J91" i="1" s="1"/>
  <c r="F187" i="1"/>
  <c r="F184" i="1"/>
  <c r="J49" i="1"/>
  <c r="D187" i="1"/>
  <c r="D184" i="1"/>
  <c r="K104" i="1"/>
  <c r="K101" i="1" s="1"/>
  <c r="J101" i="1"/>
  <c r="J89" i="1"/>
  <c r="K121" i="1"/>
  <c r="J189" i="1"/>
  <c r="J109" i="1" l="1"/>
  <c r="J33" i="1" s="1"/>
  <c r="J77" i="1" s="1"/>
  <c r="J26" i="1"/>
  <c r="J129" i="1"/>
  <c r="K88" i="1"/>
  <c r="K132" i="1"/>
  <c r="K134" i="1" s="1"/>
  <c r="K154" i="1"/>
  <c r="K96" i="1"/>
  <c r="K46" i="1"/>
  <c r="K73" i="1"/>
  <c r="K179" i="1"/>
  <c r="K126" i="1"/>
  <c r="H186" i="1"/>
  <c r="I183" i="1"/>
  <c r="J65" i="1"/>
  <c r="K89" i="1"/>
  <c r="K189" i="1"/>
  <c r="H55" i="1"/>
  <c r="G80" i="1"/>
  <c r="G61" i="1"/>
  <c r="K112" i="1"/>
  <c r="J114" i="1"/>
  <c r="J81" i="1" s="1"/>
  <c r="H50" i="1"/>
  <c r="G79" i="1"/>
  <c r="J99" i="1"/>
  <c r="J102" i="1" s="1"/>
  <c r="I51" i="1"/>
  <c r="I24" i="1"/>
  <c r="I19" i="1"/>
  <c r="E199" i="1"/>
  <c r="E119" i="1"/>
  <c r="E182" i="1"/>
  <c r="K49" i="1"/>
  <c r="K74" i="1"/>
  <c r="K127" i="1"/>
  <c r="K97" i="1"/>
  <c r="K47" i="1"/>
  <c r="K155" i="1"/>
  <c r="K180" i="1"/>
  <c r="J190" i="1"/>
  <c r="J195" i="1" s="1"/>
  <c r="K35" i="1"/>
  <c r="J78" i="1"/>
  <c r="H197" i="1"/>
  <c r="I194" i="1"/>
  <c r="I196" i="1" s="1"/>
  <c r="H34" i="1"/>
  <c r="H36" i="1" s="1"/>
  <c r="J22" i="1"/>
  <c r="J20" i="1"/>
  <c r="K18" i="1"/>
  <c r="J21" i="1"/>
  <c r="K26" i="1" l="1"/>
  <c r="K129" i="1"/>
  <c r="I197" i="1"/>
  <c r="J194" i="1"/>
  <c r="J196" i="1" s="1"/>
  <c r="E200" i="1"/>
  <c r="F200" i="1"/>
  <c r="I55" i="1"/>
  <c r="H80" i="1"/>
  <c r="H61" i="1"/>
  <c r="E187" i="1"/>
  <c r="E184" i="1"/>
  <c r="K22" i="1"/>
  <c r="K20" i="1"/>
  <c r="K21" i="1"/>
  <c r="J24" i="1"/>
  <c r="J19" i="1"/>
  <c r="K91" i="1"/>
  <c r="J51" i="1"/>
  <c r="K99" i="1"/>
  <c r="K102" i="1" s="1"/>
  <c r="K51" i="1" s="1"/>
  <c r="K65" i="1"/>
  <c r="I34" i="1"/>
  <c r="I36" i="1" s="1"/>
  <c r="I186" i="1"/>
  <c r="J183" i="1"/>
  <c r="K190" i="1"/>
  <c r="K195" i="1" s="1"/>
  <c r="K78" i="1"/>
  <c r="K107" i="1"/>
  <c r="I50" i="1"/>
  <c r="H79" i="1"/>
  <c r="J50" i="1" l="1"/>
  <c r="I79" i="1"/>
  <c r="J55" i="1"/>
  <c r="I80" i="1"/>
  <c r="I61" i="1"/>
  <c r="J197" i="1"/>
  <c r="K194" i="1"/>
  <c r="K196" i="1" s="1"/>
  <c r="K197" i="1" s="1"/>
  <c r="J186" i="1"/>
  <c r="K183" i="1"/>
  <c r="J34" i="1"/>
  <c r="J36" i="1" s="1"/>
  <c r="K113" i="1"/>
  <c r="K114" i="1" s="1"/>
  <c r="K81" i="1" s="1"/>
  <c r="K109" i="1"/>
  <c r="K33" i="1" s="1"/>
  <c r="K77" i="1" s="1"/>
  <c r="K19" i="1"/>
  <c r="K24" i="1"/>
  <c r="K186" i="1" l="1"/>
  <c r="K34" i="1"/>
  <c r="K36" i="1" s="1"/>
  <c r="K55" i="1"/>
  <c r="J80" i="1"/>
  <c r="J61" i="1"/>
  <c r="K50" i="1"/>
  <c r="K79" i="1" s="1"/>
  <c r="J79" i="1"/>
  <c r="K80" i="1" l="1"/>
  <c r="K61" i="1"/>
  <c r="G25" i="1" l="1"/>
  <c r="H25" i="1"/>
  <c r="I25" i="1"/>
  <c r="J25" i="1"/>
  <c r="K25" i="1"/>
  <c r="G28" i="1"/>
  <c r="H28" i="1"/>
  <c r="I28" i="1"/>
  <c r="J28" i="1"/>
  <c r="K28" i="1"/>
  <c r="G29" i="1"/>
  <c r="H29" i="1"/>
  <c r="I29" i="1"/>
  <c r="J29" i="1"/>
  <c r="K29" i="1"/>
  <c r="G31" i="1"/>
  <c r="H31" i="1"/>
  <c r="I31" i="1"/>
  <c r="J31" i="1"/>
  <c r="K31" i="1"/>
  <c r="G48" i="1"/>
  <c r="H48" i="1"/>
  <c r="I48" i="1"/>
  <c r="J48" i="1"/>
  <c r="K48" i="1"/>
  <c r="G53" i="1"/>
  <c r="H53" i="1"/>
  <c r="I53" i="1"/>
  <c r="J53" i="1"/>
  <c r="K53" i="1"/>
  <c r="G66" i="1"/>
  <c r="H66" i="1"/>
  <c r="I66" i="1"/>
  <c r="J66" i="1"/>
  <c r="K66" i="1"/>
  <c r="G68" i="1"/>
  <c r="H68" i="1"/>
  <c r="I68" i="1"/>
  <c r="J68" i="1"/>
  <c r="K68" i="1"/>
  <c r="G70" i="1"/>
  <c r="H70" i="1"/>
  <c r="I70" i="1"/>
  <c r="J70" i="1"/>
  <c r="K70" i="1"/>
  <c r="G76" i="1"/>
  <c r="H76" i="1"/>
  <c r="I76" i="1"/>
  <c r="J76" i="1"/>
  <c r="K76" i="1"/>
  <c r="G83" i="1"/>
  <c r="H83" i="1"/>
  <c r="I83" i="1"/>
  <c r="J83" i="1"/>
  <c r="K83" i="1"/>
  <c r="G93" i="1"/>
  <c r="H93" i="1"/>
  <c r="I93" i="1"/>
  <c r="J93" i="1"/>
  <c r="K93" i="1"/>
  <c r="H118" i="1"/>
  <c r="I118" i="1"/>
  <c r="J118" i="1"/>
  <c r="K118" i="1"/>
  <c r="G119" i="1"/>
  <c r="H119" i="1"/>
  <c r="I119" i="1"/>
  <c r="J119" i="1"/>
  <c r="K119" i="1"/>
  <c r="G122" i="1"/>
  <c r="H122" i="1"/>
  <c r="I122" i="1"/>
  <c r="J122" i="1"/>
  <c r="K122" i="1"/>
  <c r="G138" i="1"/>
  <c r="H138" i="1"/>
  <c r="I138" i="1"/>
  <c r="J138" i="1"/>
  <c r="K138" i="1"/>
  <c r="D144" i="1"/>
  <c r="G182" i="1"/>
  <c r="H182" i="1"/>
  <c r="I182" i="1"/>
  <c r="J182" i="1"/>
  <c r="K182" i="1"/>
  <c r="G184" i="1"/>
  <c r="H184" i="1"/>
  <c r="I184" i="1"/>
  <c r="J184" i="1"/>
  <c r="K184" i="1"/>
  <c r="G187" i="1"/>
  <c r="H187" i="1"/>
  <c r="I187" i="1"/>
  <c r="J187" i="1"/>
  <c r="K187" i="1"/>
  <c r="G199" i="1"/>
  <c r="H199" i="1"/>
  <c r="I199" i="1"/>
  <c r="J199" i="1"/>
  <c r="K199" i="1"/>
  <c r="G200" i="1"/>
  <c r="H200" i="1"/>
  <c r="I200" i="1"/>
  <c r="J200" i="1"/>
  <c r="K20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Amgad</author>
  </authors>
  <commentList>
    <comment ref="C19" authorId="0" shapeId="0" xr:uid="{0B9F8333-8990-4837-805D-7CA08BBED430}">
      <text>
        <r>
          <rPr>
            <b/>
            <sz val="9"/>
            <color indexed="81"/>
            <rFont val="Tahoma"/>
            <family val="2"/>
          </rPr>
          <t>Amgad:</t>
        </r>
        <r>
          <rPr>
            <sz val="9"/>
            <color indexed="81"/>
            <rFont val="Tahoma"/>
            <family val="2"/>
          </rPr>
          <t xml:space="preserve">
Includes Fulfilment costs
</t>
        </r>
      </text>
    </comment>
    <comment ref="C52" authorId="0" shapeId="0" xr:uid="{BB936171-622D-4938-8256-6A089ADD0ADA}">
      <text>
        <r>
          <rPr>
            <b/>
            <sz val="9"/>
            <color indexed="81"/>
            <rFont val="Tahoma"/>
            <family val="2"/>
          </rPr>
          <t>Amgad:</t>
        </r>
        <r>
          <rPr>
            <sz val="9"/>
            <color indexed="81"/>
            <rFont val="Tahoma"/>
            <family val="2"/>
          </rPr>
          <t xml:space="preserve">
Inlcudes Goodwill, Operating Leases among other assests</t>
        </r>
      </text>
    </comment>
    <comment ref="C58" authorId="0" shapeId="0" xr:uid="{BF0AF609-11DB-4897-B89F-FFBFB76BA6B0}">
      <text>
        <r>
          <rPr>
            <b/>
            <sz val="9"/>
            <color indexed="81"/>
            <rFont val="Tahoma"/>
            <family val="2"/>
          </rPr>
          <t>Amgad:</t>
        </r>
        <r>
          <rPr>
            <sz val="9"/>
            <color indexed="81"/>
            <rFont val="Tahoma"/>
            <family val="2"/>
          </rPr>
          <t xml:space="preserve">
Includes majority operating and minority financing leases. Operating lease expense kept embedded in opearting costs hence no interest forecast to avoid double counting.</t>
        </r>
      </text>
    </comment>
    <comment ref="C133" authorId="0" shapeId="0" xr:uid="{36098668-9C8A-4C9C-A105-206F155842A2}">
      <text>
        <r>
          <rPr>
            <b/>
            <sz val="9"/>
            <color indexed="81"/>
            <rFont val="Tahoma"/>
            <charset val="1"/>
          </rPr>
          <t>Amgad:</t>
        </r>
        <r>
          <rPr>
            <sz val="9"/>
            <color indexed="81"/>
            <rFont val="Tahoma"/>
            <charset val="1"/>
          </rPr>
          <t xml:space="preserve">
We estimate this figure given that Amzn does not provide an explicit figure
</t>
        </r>
      </text>
    </comment>
    <comment ref="G191" authorId="0" shapeId="0" xr:uid="{FA9DD973-6FDB-48BA-9EF6-7B2FF6152474}">
      <text>
        <r>
          <rPr>
            <b/>
            <sz val="9"/>
            <color indexed="81"/>
            <rFont val="Tahoma"/>
            <charset val="1"/>
          </rPr>
          <t>Amgad:</t>
        </r>
        <r>
          <rPr>
            <sz val="9"/>
            <color indexed="81"/>
            <rFont val="Tahoma"/>
            <charset val="1"/>
          </rPr>
          <t xml:space="preserve">
Based on spot price (current share price)
</t>
        </r>
      </text>
    </comment>
  </commentList>
</comments>
</file>

<file path=xl/sharedStrings.xml><?xml version="1.0" encoding="utf-8"?>
<sst xmlns="http://schemas.openxmlformats.org/spreadsheetml/2006/main" count="161" uniqueCount="128">
  <si>
    <t>$ in thousands except per share</t>
  </si>
  <si>
    <t>Company name</t>
  </si>
  <si>
    <t>Amazon</t>
  </si>
  <si>
    <t>Ticker</t>
  </si>
  <si>
    <t>AMZN</t>
  </si>
  <si>
    <t>Circ break 1=off, 0=on</t>
  </si>
  <si>
    <t>Latest closing share price</t>
  </si>
  <si>
    <t>Latest closing share price date</t>
  </si>
  <si>
    <t>Latest fiscal year end date</t>
  </si>
  <si>
    <t>Shares outstanding (millions)</t>
  </si>
  <si>
    <t>Select an operating scenario:</t>
  </si>
  <si>
    <t>Base case</t>
  </si>
  <si>
    <t>INCOME STATEMENT</t>
  </si>
  <si>
    <t xml:space="preserve">Fiscal year  </t>
  </si>
  <si>
    <t>Fiscal year end date</t>
  </si>
  <si>
    <t>Revenue - products</t>
  </si>
  <si>
    <t xml:space="preserve">Cost of Sales </t>
  </si>
  <si>
    <t>Gross Profit</t>
  </si>
  <si>
    <t>Selling, general &amp; administrative</t>
  </si>
  <si>
    <t xml:space="preserve">R&amp;D: Technology and Infrastructure </t>
  </si>
  <si>
    <t>Other operating expense, net</t>
  </si>
  <si>
    <t>Operating profit (EBIT)</t>
  </si>
  <si>
    <t>Interest income</t>
  </si>
  <si>
    <t xml:space="preserve">Interest expense </t>
  </si>
  <si>
    <t>Other expense, net</t>
  </si>
  <si>
    <t>Pretax profit</t>
  </si>
  <si>
    <t xml:space="preserve">Taxes </t>
  </si>
  <si>
    <t>Equity method investment, net of tax</t>
  </si>
  <si>
    <t>Net income</t>
  </si>
  <si>
    <t>Depreciation &amp; amortization</t>
  </si>
  <si>
    <t>EBITDA</t>
  </si>
  <si>
    <t>Stock based compensation</t>
  </si>
  <si>
    <t>Adjusted EBITDA</t>
  </si>
  <si>
    <t>Growth rates &amp; margins</t>
  </si>
  <si>
    <t>Revenue growth</t>
  </si>
  <si>
    <t>Gross profit margin</t>
  </si>
  <si>
    <t xml:space="preserve">R&amp;D % of sales </t>
  </si>
  <si>
    <t>SG&amp;A % of sales</t>
  </si>
  <si>
    <t>Tax rate</t>
  </si>
  <si>
    <t>BALANCE SHEET</t>
  </si>
  <si>
    <t>Cash &amp; equivalents, ST and LT marketable securities</t>
  </si>
  <si>
    <t>Accounts receivable</t>
  </si>
  <si>
    <t>Inventories</t>
  </si>
  <si>
    <t>Property, plant &amp; equipment</t>
  </si>
  <si>
    <t>Other non current assets</t>
  </si>
  <si>
    <t>Total assets</t>
  </si>
  <si>
    <t>Accounts payable</t>
  </si>
  <si>
    <t>Other current liabilities</t>
  </si>
  <si>
    <t>Deferred revenue (current)</t>
  </si>
  <si>
    <t>Long term lease liabilities</t>
  </si>
  <si>
    <t>Long term debt (includes current portion)</t>
  </si>
  <si>
    <t>Other non current liabilities</t>
  </si>
  <si>
    <t>Total liabilities</t>
  </si>
  <si>
    <t>Common stock</t>
  </si>
  <si>
    <t xml:space="preserve">Treasury stock </t>
  </si>
  <si>
    <t>APIC</t>
  </si>
  <si>
    <t xml:space="preserve">Retained earnings </t>
  </si>
  <si>
    <t>Other comprehensive income</t>
  </si>
  <si>
    <t>Total equity</t>
  </si>
  <si>
    <t>Balance check</t>
  </si>
  <si>
    <t>CASH FLOW STATEMENT</t>
  </si>
  <si>
    <t>Depreciation and amortization</t>
  </si>
  <si>
    <t>Decreases / (Increases) in working capital assets</t>
  </si>
  <si>
    <t>Increases / (Decreases) in working capital liabilities</t>
  </si>
  <si>
    <t>Cash from operating activities</t>
  </si>
  <si>
    <t>Capital expenditures</t>
  </si>
  <si>
    <t>Cash from investing activities</t>
  </si>
  <si>
    <t>Long term debt</t>
  </si>
  <si>
    <t>Share repurchases</t>
  </si>
  <si>
    <t>Common dividends</t>
  </si>
  <si>
    <t>Cash from financing activities</t>
  </si>
  <si>
    <t>Net change in cash during period</t>
  </si>
  <si>
    <t>PROPERTY, PLANT &amp; EQUIPMENT</t>
  </si>
  <si>
    <t>Forecast</t>
  </si>
  <si>
    <t>Beginning of period</t>
  </si>
  <si>
    <t>Plus: Capital expenditures</t>
  </si>
  <si>
    <t>Less: Depreciation</t>
  </si>
  <si>
    <t>End of period</t>
  </si>
  <si>
    <t>Step</t>
  </si>
  <si>
    <t>D&amp;A related to PP&amp;E as a % of capex</t>
  </si>
  <si>
    <t>IMPUTING TOTAL DEPRECIATION &amp; AMORTIZATION</t>
  </si>
  <si>
    <r>
      <t xml:space="preserve">D&amp;A </t>
    </r>
    <r>
      <rPr>
        <u/>
        <sz val="11"/>
        <color theme="1"/>
        <rFont val="Aptos Narrow"/>
        <family val="2"/>
        <scheme val="minor"/>
      </rPr>
      <t>not</t>
    </r>
    <r>
      <rPr>
        <sz val="11"/>
        <color theme="1"/>
        <rFont val="Aptos Narrow"/>
        <family val="2"/>
        <scheme val="minor"/>
      </rPr>
      <t xml:space="preserve"> related to PP&amp;E</t>
    </r>
  </si>
  <si>
    <t>as % of revenue</t>
  </si>
  <si>
    <t xml:space="preserve">Depreciation &amp; Amortization - Total </t>
  </si>
  <si>
    <t>OTHER NON-CURRENT ASSETS</t>
  </si>
  <si>
    <t>Less: Amortization of intangible assets</t>
  </si>
  <si>
    <t xml:space="preserve">Plus: Additions </t>
  </si>
  <si>
    <t>RETAINED EARNINGS</t>
  </si>
  <si>
    <t>Plus: Net income</t>
  </si>
  <si>
    <t>Less: Dividends</t>
  </si>
  <si>
    <t>Less: Repurchases</t>
  </si>
  <si>
    <t>INTEREST EXPENSE AND INTEREST INCOME</t>
  </si>
  <si>
    <t>Total interest expense (from I/S)</t>
  </si>
  <si>
    <t>End of period balance (from B/S)</t>
  </si>
  <si>
    <t>Weighted average interest rate</t>
  </si>
  <si>
    <t>Interest rate on cash</t>
  </si>
  <si>
    <t>Weighted average interest rate on cash</t>
  </si>
  <si>
    <t>SENSITIVITY ANALYSIS</t>
  </si>
  <si>
    <t>First forecast year net income  sensitivity</t>
  </si>
  <si>
    <t>Revenue growth rate</t>
  </si>
  <si>
    <t>Gross</t>
  </si>
  <si>
    <t>Profit</t>
  </si>
  <si>
    <t>Margin:</t>
  </si>
  <si>
    <t>SCENARIO ANALYSIS</t>
  </si>
  <si>
    <t>Active case:</t>
  </si>
  <si>
    <t xml:space="preserve">Variance from </t>
  </si>
  <si>
    <t>base case</t>
  </si>
  <si>
    <t>R&amp;D % of sales</t>
  </si>
  <si>
    <t>Best case</t>
  </si>
  <si>
    <t>NM</t>
  </si>
  <si>
    <t>Weak case</t>
  </si>
  <si>
    <t>EARNINGS PER SHARE</t>
  </si>
  <si>
    <t xml:space="preserve">Basic shares </t>
  </si>
  <si>
    <t>Basic EPS</t>
  </si>
  <si>
    <t>Diluted Shares</t>
  </si>
  <si>
    <t>Diluted EPS</t>
  </si>
  <si>
    <t>$ amount of shares repurchased</t>
  </si>
  <si>
    <t>$ amount of new shares issued</t>
  </si>
  <si>
    <t>Average share price</t>
  </si>
  <si>
    <t>Share price increase</t>
  </si>
  <si>
    <t>Alternative method for calculating weighted average basic shares</t>
  </si>
  <si>
    <t>Basic Shares - BOP</t>
  </si>
  <si>
    <t>Reference from latest share count &gt;</t>
  </si>
  <si>
    <t>Net change in basic shares</t>
  </si>
  <si>
    <t>Basic shares - EOP</t>
  </si>
  <si>
    <t>Basic shares - average</t>
  </si>
  <si>
    <t>Alternative method for estimating share price growth</t>
  </si>
  <si>
    <t>yoy % growth in 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</si>
</sst>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_(#,##0_)_%;\(#,##0\)_%;_(&quot;–&quot;_)_%;_(@_)_%"/>
    <numFmt numFmtId="165" formatCode="&quot;$&quot;#,##0.00_);[Red]\(&quot;$&quot;#,##0.00\)"/>
    <numFmt numFmtId="166" formatCode="m/d/yy;@"/>
    <numFmt numFmtId="167" formatCode="#,##0.000_);\(#,##0.000\)"/>
    <numFmt numFmtId="168" formatCode="0\A;[Red]0\A"/>
    <numFmt numFmtId="169" formatCode="0\P_);\(0\P\)"/>
    <numFmt numFmtId="170" formatCode="0.0%"/>
    <numFmt numFmtId="171" formatCode="0.0%_);\(0.0%\);@_)"/>
    <numFmt numFmtId="172" formatCode="_(#,##0.0%_);\(#,##0.0%\);_(&quot;–&quot;_)_%;_(@_)_%"/>
    <numFmt numFmtId="173" formatCode="_(#,##0.00%_);\(#,##0.00%\);_(&quot;–&quot;_)_%;_(@_)_%"/>
    <numFmt numFmtId="174" formatCode="0.00%_);\(0.00%\);@_)"/>
    <numFmt numFmtId="175" formatCode="&quot;$&quot;#,##0_);\(&quot;$&quot;#,##0\)"/>
    <numFmt numFmtId="176" formatCode="0.0%;\(0.0%\)"/>
    <numFmt numFmtId="177" formatCode="0.0%;\ \(0.0%\)"/>
    <numFmt numFmtId="178" formatCode="#,##0_);\(#,##0\);@_)"/>
    <numFmt numFmtId="179" formatCode="0%_);\(0%\);@_)"/>
    <numFmt numFmtId="180" formatCode="&quot;$&quot;#,##0.00_);\(&quot;$&quot;#,##0.00\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1"/>
      <color rgb="FF0000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9"/>
      <color rgb="FF00800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000000"/>
      <name val="Times New Roman"/>
      <family val="1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9DAF8"/>
        <bgColor rgb="FF000000"/>
      </patternFill>
    </fill>
  </fills>
  <borders count="19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3">
    <xf numFmtId="0" fontId="0" fillId="0" borderId="0" xfId="0"/>
    <xf numFmtId="0" fontId="2" fillId="0" borderId="1" xfId="0" applyFont="1" applyBorder="1"/>
    <xf numFmtId="0" fontId="0" fillId="0" borderId="1" xfId="0" applyBorder="1"/>
    <xf numFmtId="14" fontId="3" fillId="0" borderId="0" xfId="0" applyNumberFormat="1" applyFont="1" applyAlignment="1">
      <alignment horizontal="left"/>
    </xf>
    <xf numFmtId="0" fontId="0" fillId="0" borderId="2" xfId="0" applyBorder="1"/>
    <xf numFmtId="0" fontId="4" fillId="0" borderId="0" xfId="0" applyFont="1"/>
    <xf numFmtId="0" fontId="5" fillId="0" borderId="0" xfId="0" applyFont="1" applyAlignment="1">
      <alignment horizontal="center"/>
    </xf>
    <xf numFmtId="37" fontId="5" fillId="0" borderId="0" xfId="0" applyNumberFormat="1" applyFont="1"/>
    <xf numFmtId="164" fontId="5" fillId="2" borderId="3" xfId="0" applyNumberFormat="1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/>
    </xf>
    <xf numFmtId="0" fontId="2" fillId="0" borderId="0" xfId="0" applyFont="1"/>
    <xf numFmtId="0" fontId="2" fillId="0" borderId="4" xfId="0" applyFont="1" applyBorder="1"/>
    <xf numFmtId="0" fontId="0" fillId="0" borderId="4" xfId="0" applyBorder="1"/>
    <xf numFmtId="168" fontId="2" fillId="0" borderId="0" xfId="0" applyNumberFormat="1" applyFont="1"/>
    <xf numFmtId="169" fontId="2" fillId="0" borderId="0" xfId="0" applyNumberFormat="1" applyFont="1"/>
    <xf numFmtId="0" fontId="6" fillId="0" borderId="4" xfId="0" applyFont="1" applyBorder="1"/>
    <xf numFmtId="166" fontId="6" fillId="0" borderId="5" xfId="0" applyNumberFormat="1" applyFont="1" applyBorder="1"/>
    <xf numFmtId="0" fontId="6" fillId="0" borderId="0" xfId="0" applyFont="1"/>
    <xf numFmtId="166" fontId="7" fillId="0" borderId="0" xfId="0" applyNumberFormat="1" applyFont="1"/>
    <xf numFmtId="166" fontId="6" fillId="0" borderId="0" xfId="0" applyNumberFormat="1" applyFont="1"/>
    <xf numFmtId="9" fontId="6" fillId="0" borderId="0" xfId="0" applyNumberFormat="1" applyFont="1"/>
    <xf numFmtId="170" fontId="6" fillId="0" borderId="0" xfId="0" applyNumberFormat="1" applyFont="1"/>
    <xf numFmtId="37" fontId="4" fillId="0" borderId="0" xfId="0" applyNumberFormat="1" applyFont="1"/>
    <xf numFmtId="37" fontId="8" fillId="0" borderId="0" xfId="0" applyNumberFormat="1" applyFont="1"/>
    <xf numFmtId="0" fontId="0" fillId="0" borderId="0" xfId="0" quotePrefix="1"/>
    <xf numFmtId="37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4" fontId="0" fillId="0" borderId="0" xfId="0" applyNumberFormat="1"/>
    <xf numFmtId="0" fontId="9" fillId="0" borderId="0" xfId="0" applyFont="1"/>
    <xf numFmtId="171" fontId="4" fillId="0" borderId="0" xfId="0" applyNumberFormat="1" applyFont="1"/>
    <xf numFmtId="171" fontId="5" fillId="0" borderId="0" xfId="0" applyNumberFormat="1" applyFont="1"/>
    <xf numFmtId="166" fontId="6" fillId="0" borderId="4" xfId="0" applyNumberFormat="1" applyFont="1" applyBorder="1"/>
    <xf numFmtId="14" fontId="6" fillId="0" borderId="0" xfId="0" applyNumberFormat="1" applyFont="1"/>
    <xf numFmtId="168" fontId="8" fillId="0" borderId="0" xfId="0" applyNumberFormat="1" applyFont="1"/>
    <xf numFmtId="169" fontId="8" fillId="0" borderId="0" xfId="0" applyNumberFormat="1" applyFont="1"/>
    <xf numFmtId="166" fontId="3" fillId="0" borderId="4" xfId="0" applyNumberFormat="1" applyFont="1" applyBorder="1"/>
    <xf numFmtId="37" fontId="2" fillId="0" borderId="0" xfId="0" applyNumberFormat="1" applyFont="1"/>
    <xf numFmtId="37" fontId="6" fillId="0" borderId="0" xfId="0" applyNumberFormat="1" applyFont="1"/>
    <xf numFmtId="3" fontId="0" fillId="0" borderId="0" xfId="0" applyNumberFormat="1"/>
    <xf numFmtId="0" fontId="2" fillId="0" borderId="6" xfId="0" applyFont="1" applyBorder="1" applyAlignment="1">
      <alignment horizontal="centerContinuous"/>
    </xf>
    <xf numFmtId="0" fontId="0" fillId="0" borderId="0" xfId="0" quotePrefix="1" applyAlignment="1">
      <alignment horizontal="left" indent="1"/>
    </xf>
    <xf numFmtId="0" fontId="0" fillId="0" borderId="7" xfId="0" quotePrefix="1" applyBorder="1" applyAlignment="1">
      <alignment horizontal="left" indent="1"/>
    </xf>
    <xf numFmtId="37" fontId="5" fillId="0" borderId="7" xfId="0" applyNumberFormat="1" applyFont="1" applyBorder="1"/>
    <xf numFmtId="37" fontId="0" fillId="0" borderId="7" xfId="0" applyNumberFormat="1" applyBorder="1"/>
    <xf numFmtId="0" fontId="2" fillId="0" borderId="0" xfId="0" applyFont="1" applyAlignment="1">
      <alignment horizontal="left" indent="1"/>
    </xf>
    <xf numFmtId="171" fontId="0" fillId="0" borderId="0" xfId="0" applyNumberFormat="1"/>
    <xf numFmtId="172" fontId="5" fillId="3" borderId="0" xfId="0" applyNumberFormat="1" applyFont="1" applyFill="1"/>
    <xf numFmtId="164" fontId="0" fillId="0" borderId="0" xfId="0" applyNumberFormat="1"/>
    <xf numFmtId="0" fontId="2" fillId="0" borderId="4" xfId="0" applyFont="1" applyBorder="1" applyAlignment="1">
      <alignment horizontal="left"/>
    </xf>
    <xf numFmtId="171" fontId="0" fillId="0" borderId="4" xfId="0" applyNumberFormat="1" applyBorder="1"/>
    <xf numFmtId="171" fontId="4" fillId="0" borderId="4" xfId="0" applyNumberFormat="1" applyFont="1" applyBorder="1"/>
    <xf numFmtId="172" fontId="0" fillId="0" borderId="0" xfId="0" applyNumberFormat="1"/>
    <xf numFmtId="37" fontId="2" fillId="0" borderId="4" xfId="0" applyNumberFormat="1" applyFont="1" applyBorder="1"/>
    <xf numFmtId="37" fontId="4" fillId="0" borderId="6" xfId="0" applyNumberFormat="1" applyFont="1" applyBorder="1"/>
    <xf numFmtId="0" fontId="0" fillId="0" borderId="7" xfId="0" applyBorder="1" applyAlignment="1">
      <alignment horizontal="left" indent="1"/>
    </xf>
    <xf numFmtId="0" fontId="0" fillId="0" borderId="7" xfId="0" applyBorder="1"/>
    <xf numFmtId="37" fontId="4" fillId="0" borderId="7" xfId="0" applyNumberFormat="1" applyFont="1" applyBorder="1"/>
    <xf numFmtId="37" fontId="2" fillId="0" borderId="4" xfId="0" applyNumberFormat="1" applyFont="1" applyBorder="1" applyAlignment="1">
      <alignment horizontal="left"/>
    </xf>
    <xf numFmtId="0" fontId="10" fillId="0" borderId="0" xfId="0" applyFont="1" applyAlignment="1">
      <alignment horizontal="center"/>
    </xf>
    <xf numFmtId="37" fontId="11" fillId="0" borderId="0" xfId="0" applyNumberFormat="1" applyFont="1" applyAlignment="1">
      <alignment horizontal="right"/>
    </xf>
    <xf numFmtId="9" fontId="5" fillId="0" borderId="4" xfId="0" applyNumberFormat="1" applyFont="1" applyBorder="1"/>
    <xf numFmtId="3" fontId="12" fillId="0" borderId="0" xfId="0" applyNumberFormat="1" applyFont="1"/>
    <xf numFmtId="37" fontId="0" fillId="0" borderId="6" xfId="0" applyNumberFormat="1" applyBorder="1"/>
    <xf numFmtId="0" fontId="0" fillId="0" borderId="0" xfId="0" applyAlignment="1">
      <alignment horizontal="left" indent="2"/>
    </xf>
    <xf numFmtId="0" fontId="13" fillId="0" borderId="0" xfId="0" applyFont="1" applyAlignment="1">
      <alignment horizontal="left"/>
    </xf>
    <xf numFmtId="173" fontId="14" fillId="0" borderId="0" xfId="0" applyNumberFormat="1" applyFont="1"/>
    <xf numFmtId="0" fontId="9" fillId="0" borderId="0" xfId="0" applyFont="1" applyAlignment="1">
      <alignment horizontal="left" indent="1"/>
    </xf>
    <xf numFmtId="10" fontId="5" fillId="0" borderId="0" xfId="0" applyNumberFormat="1" applyFont="1"/>
    <xf numFmtId="174" fontId="5" fillId="0" borderId="0" xfId="0" applyNumberFormat="1" applyFont="1"/>
    <xf numFmtId="173" fontId="4" fillId="0" borderId="0" xfId="0" applyNumberFormat="1" applyFont="1"/>
    <xf numFmtId="37" fontId="4" fillId="0" borderId="0" xfId="0" applyNumberFormat="1" applyFont="1" applyAlignment="1">
      <alignment horizontal="left" indent="1"/>
    </xf>
    <xf numFmtId="169" fontId="2" fillId="0" borderId="8" xfId="0" applyNumberFormat="1" applyFont="1" applyBorder="1"/>
    <xf numFmtId="0" fontId="0" fillId="0" borderId="8" xfId="0" applyBorder="1"/>
    <xf numFmtId="0" fontId="2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175" fontId="4" fillId="3" borderId="9" xfId="0" applyNumberFormat="1" applyFont="1" applyFill="1" applyBorder="1"/>
    <xf numFmtId="176" fontId="5" fillId="3" borderId="10" xfId="0" applyNumberFormat="1" applyFont="1" applyFill="1" applyBorder="1"/>
    <xf numFmtId="0" fontId="0" fillId="0" borderId="0" xfId="0" applyAlignment="1">
      <alignment horizontal="right"/>
    </xf>
    <xf numFmtId="177" fontId="5" fillId="3" borderId="11" xfId="0" applyNumberFormat="1" applyFont="1" applyFill="1" applyBorder="1"/>
    <xf numFmtId="178" fontId="0" fillId="3" borderId="0" xfId="0" applyNumberFormat="1" applyFill="1"/>
    <xf numFmtId="0" fontId="2" fillId="0" borderId="0" xfId="0" applyFont="1" applyAlignment="1">
      <alignment horizontal="right"/>
    </xf>
    <xf numFmtId="0" fontId="2" fillId="0" borderId="12" xfId="0" applyFont="1" applyBorder="1"/>
    <xf numFmtId="0" fontId="15" fillId="0" borderId="13" xfId="0" applyFont="1" applyBorder="1" applyAlignment="1">
      <alignment horizontal="center"/>
    </xf>
    <xf numFmtId="0" fontId="0" fillId="0" borderId="14" xfId="0" applyBorder="1"/>
    <xf numFmtId="0" fontId="15" fillId="0" borderId="15" xfId="0" applyFont="1" applyBorder="1" applyAlignment="1">
      <alignment horizontal="center"/>
    </xf>
    <xf numFmtId="171" fontId="0" fillId="3" borderId="16" xfId="0" applyNumberFormat="1" applyFill="1" applyBorder="1" applyAlignment="1">
      <alignment horizontal="center"/>
    </xf>
    <xf numFmtId="171" fontId="0" fillId="3" borderId="0" xfId="0" applyNumberFormat="1" applyFill="1"/>
    <xf numFmtId="172" fontId="3" fillId="0" borderId="0" xfId="0" applyNumberFormat="1" applyFont="1"/>
    <xf numFmtId="0" fontId="0" fillId="0" borderId="16" xfId="0" applyBorder="1"/>
    <xf numFmtId="172" fontId="5" fillId="0" borderId="16" xfId="0" applyNumberFormat="1" applyFont="1" applyBorder="1" applyAlignment="1">
      <alignment horizontal="center"/>
    </xf>
    <xf numFmtId="0" fontId="0" fillId="0" borderId="16" xfId="0" applyBorder="1" applyAlignment="1">
      <alignment horizontal="center"/>
    </xf>
    <xf numFmtId="179" fontId="0" fillId="0" borderId="0" xfId="0" applyNumberFormat="1"/>
    <xf numFmtId="172" fontId="5" fillId="0" borderId="17" xfId="0" applyNumberFormat="1" applyFont="1" applyBorder="1" applyAlignment="1">
      <alignment horizontal="center"/>
    </xf>
    <xf numFmtId="37" fontId="0" fillId="3" borderId="0" xfId="0" applyNumberFormat="1" applyFill="1"/>
    <xf numFmtId="37" fontId="5" fillId="3" borderId="0" xfId="0" applyNumberFormat="1" applyFont="1" applyFill="1"/>
    <xf numFmtId="180" fontId="8" fillId="3" borderId="0" xfId="0" applyNumberFormat="1" applyFont="1" applyFill="1"/>
    <xf numFmtId="165" fontId="0" fillId="0" borderId="0" xfId="0" applyNumberFormat="1"/>
    <xf numFmtId="37" fontId="4" fillId="4" borderId="0" xfId="0" applyNumberFormat="1" applyFont="1" applyFill="1"/>
    <xf numFmtId="165" fontId="5" fillId="3" borderId="0" xfId="0" applyNumberFormat="1" applyFont="1" applyFill="1"/>
    <xf numFmtId="165" fontId="0" fillId="3" borderId="0" xfId="0" applyNumberFormat="1" applyFill="1"/>
    <xf numFmtId="9" fontId="5" fillId="0" borderId="0" xfId="0" applyNumberFormat="1" applyFont="1"/>
    <xf numFmtId="0" fontId="2" fillId="0" borderId="8" xfId="0" applyFont="1" applyBorder="1"/>
    <xf numFmtId="37" fontId="2" fillId="3" borderId="18" xfId="0" applyNumberFormat="1" applyFont="1" applyFill="1" applyBorder="1"/>
    <xf numFmtId="37" fontId="2" fillId="3" borderId="0" xfId="0" applyNumberFormat="1" applyFont="1" applyFill="1"/>
    <xf numFmtId="172" fontId="4" fillId="3" borderId="0" xfId="0" applyNumberFormat="1" applyFont="1" applyFill="1"/>
    <xf numFmtId="172" fontId="0" fillId="3" borderId="0" xfId="0" applyNumberFormat="1" applyFill="1"/>
    <xf numFmtId="9" fontId="0" fillId="0" borderId="0" xfId="1" applyFont="1"/>
    <xf numFmtId="9" fontId="0" fillId="0" borderId="0" xfId="0" applyNumberFormat="1"/>
  </cellXfs>
  <cellStyles count="2">
    <cellStyle name="Normal" xfId="0" builtinId="0"/>
    <cellStyle name="Per cent" xfId="1" builtinId="5"/>
  </cellStyles>
  <dxfs count="3"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  <dxf>
      <fill>
        <patternFill>
          <bgColor theme="8"/>
        </patternFill>
      </fill>
      <border>
        <left/>
        <right/>
        <top style="thin">
          <color rgb="FF9C0006"/>
        </top>
        <bottom style="thin">
          <color rgb="FF9C0006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EDD16-CFD2-43C6-B37D-4D840576BCD1}">
  <dimension ref="C1:T203"/>
  <sheetViews>
    <sheetView tabSelected="1" zoomScale="84" zoomScaleNormal="84" workbookViewId="0"/>
  </sheetViews>
  <sheetFormatPr defaultColWidth="8.85546875" defaultRowHeight="15" x14ac:dyDescent="0.25"/>
  <cols>
    <col min="1" max="2" width="1.7109375" customWidth="1"/>
    <col min="3" max="3" width="46.7109375" bestFit="1" customWidth="1"/>
    <col min="4" max="4" width="13.28515625" bestFit="1" customWidth="1"/>
    <col min="5" max="11" width="11.42578125" customWidth="1"/>
    <col min="12" max="12" width="2.28515625" customWidth="1"/>
    <col min="13" max="13" width="11.42578125" customWidth="1"/>
    <col min="14" max="14" width="11.85546875" customWidth="1"/>
    <col min="15" max="17" width="10.28515625" bestFit="1" customWidth="1"/>
    <col min="18" max="19" width="9.42578125" bestFit="1" customWidth="1"/>
  </cols>
  <sheetData>
    <row r="1" spans="3:11" ht="15.75" thickBot="1" x14ac:dyDescent="0.3"/>
    <row r="2" spans="3:11" ht="15.75" thickBot="1" x14ac:dyDescent="0.3">
      <c r="C2" s="1" t="str">
        <f>"Financial Statement Model for "&amp;D5</f>
        <v>Financial Statement Model for Amazon</v>
      </c>
      <c r="D2" s="2"/>
      <c r="E2" s="2"/>
      <c r="F2" s="2"/>
      <c r="G2" s="2"/>
      <c r="H2" s="2"/>
      <c r="I2" s="2"/>
      <c r="J2" s="2"/>
      <c r="K2" s="2"/>
    </row>
    <row r="3" spans="3:11" x14ac:dyDescent="0.25">
      <c r="C3" s="3" t="s">
        <v>0</v>
      </c>
      <c r="D3" s="4"/>
      <c r="E3" s="4"/>
      <c r="F3" s="4"/>
      <c r="G3" s="4"/>
      <c r="H3" s="4"/>
    </row>
    <row r="5" spans="3:11" x14ac:dyDescent="0.25">
      <c r="C5" s="5" t="s">
        <v>1</v>
      </c>
      <c r="D5" s="6" t="s">
        <v>2</v>
      </c>
    </row>
    <row r="6" spans="3:11" x14ac:dyDescent="0.25">
      <c r="C6" s="5" t="s">
        <v>3</v>
      </c>
      <c r="D6" s="6" t="s">
        <v>4</v>
      </c>
      <c r="F6" s="7"/>
      <c r="G6" s="7"/>
      <c r="H6" s="7"/>
    </row>
    <row r="7" spans="3:11" x14ac:dyDescent="0.25">
      <c r="C7" t="s">
        <v>5</v>
      </c>
      <c r="D7" s="8">
        <v>1</v>
      </c>
    </row>
    <row r="8" spans="3:11" x14ac:dyDescent="0.25">
      <c r="C8" t="s">
        <v>6</v>
      </c>
      <c r="D8" s="9">
        <v>210.32</v>
      </c>
    </row>
    <row r="9" spans="3:11" x14ac:dyDescent="0.25">
      <c r="C9" t="s">
        <v>7</v>
      </c>
      <c r="D9" s="10">
        <v>46059</v>
      </c>
    </row>
    <row r="10" spans="3:11" x14ac:dyDescent="0.25">
      <c r="C10" s="5" t="s">
        <v>8</v>
      </c>
      <c r="D10" s="11">
        <v>46022</v>
      </c>
    </row>
    <row r="11" spans="3:11" ht="15" customHeight="1" x14ac:dyDescent="0.25">
      <c r="C11" t="s">
        <v>9</v>
      </c>
      <c r="D11" s="12">
        <v>10734.92087</v>
      </c>
    </row>
    <row r="12" spans="3:11" x14ac:dyDescent="0.25">
      <c r="C12" t="s">
        <v>10</v>
      </c>
      <c r="D12" s="8" t="s">
        <v>11</v>
      </c>
    </row>
    <row r="13" spans="3:11" x14ac:dyDescent="0.25">
      <c r="C13" s="13"/>
      <c r="D13" s="13"/>
    </row>
    <row r="14" spans="3:11" x14ac:dyDescent="0.25">
      <c r="C14" s="14" t="s">
        <v>12</v>
      </c>
      <c r="D14" s="15"/>
      <c r="E14" s="15"/>
      <c r="F14" s="15"/>
      <c r="G14" s="15"/>
      <c r="H14" s="15"/>
      <c r="I14" s="15"/>
      <c r="J14" s="15"/>
      <c r="K14" s="15"/>
    </row>
    <row r="15" spans="3:11" x14ac:dyDescent="0.25">
      <c r="C15" t="s">
        <v>13</v>
      </c>
      <c r="D15" s="16">
        <f>E15-1</f>
        <v>2023</v>
      </c>
      <c r="E15" s="16">
        <f>F15-1</f>
        <v>2024</v>
      </c>
      <c r="F15" s="16">
        <f>YEAR(D10)</f>
        <v>2025</v>
      </c>
      <c r="G15" s="17">
        <f>F15+1</f>
        <v>2026</v>
      </c>
      <c r="H15" s="17">
        <f>G15+1</f>
        <v>2027</v>
      </c>
      <c r="I15" s="17">
        <f>H15+1</f>
        <v>2028</v>
      </c>
      <c r="J15" s="17">
        <f>I15+1</f>
        <v>2029</v>
      </c>
      <c r="K15" s="17">
        <f>J15+1</f>
        <v>2030</v>
      </c>
    </row>
    <row r="16" spans="3:11" x14ac:dyDescent="0.25">
      <c r="C16" s="18" t="s">
        <v>14</v>
      </c>
      <c r="D16" s="19">
        <f>EOMONTH(E16,-12)</f>
        <v>45291</v>
      </c>
      <c r="E16" s="19">
        <f>EOMONTH(F16,-12)</f>
        <v>45657</v>
      </c>
      <c r="F16" s="19">
        <f>D10</f>
        <v>46022</v>
      </c>
      <c r="G16" s="19">
        <f>EOMONTH(F16,12)</f>
        <v>46387</v>
      </c>
      <c r="H16" s="19">
        <f>EOMONTH(G16,12)</f>
        <v>46752</v>
      </c>
      <c r="I16" s="19">
        <f>EOMONTH(H16,12)</f>
        <v>47118</v>
      </c>
      <c r="J16" s="19">
        <f>EOMONTH(I16,12)</f>
        <v>47483</v>
      </c>
      <c r="K16" s="19">
        <f>EOMONTH(J16,12)</f>
        <v>47848</v>
      </c>
    </row>
    <row r="17" spans="3:14" x14ac:dyDescent="0.25">
      <c r="C17" s="20"/>
      <c r="D17" s="21"/>
      <c r="E17" s="22"/>
      <c r="F17" s="22"/>
      <c r="G17" s="23"/>
      <c r="H17" s="24"/>
      <c r="I17" s="24"/>
      <c r="J17" s="22"/>
      <c r="K17" s="22"/>
    </row>
    <row r="18" spans="3:14" ht="15" customHeight="1" x14ac:dyDescent="0.25">
      <c r="C18" t="s">
        <v>15</v>
      </c>
      <c r="D18" s="7">
        <f>255887+318898</f>
        <v>574785</v>
      </c>
      <c r="E18" s="7">
        <f>272311+365648</f>
        <v>637959</v>
      </c>
      <c r="F18" s="7">
        <f>296266+420658</f>
        <v>716924</v>
      </c>
      <c r="G18" s="25">
        <f ca="1">F18*(1+G39)</f>
        <v>805056.42799816001</v>
      </c>
      <c r="H18" s="25">
        <f ca="1">G18*(1+H39)</f>
        <v>895555.17988476728</v>
      </c>
      <c r="I18" s="25">
        <f ca="1">H18*(1+I39)</f>
        <v>1009191.8184382734</v>
      </c>
      <c r="J18" s="25">
        <f ca="1">I18*(1+J39)</f>
        <v>1137247.7646031785</v>
      </c>
      <c r="K18" s="25">
        <f ca="1">J18*(1+K39)</f>
        <v>1281552.6785545698</v>
      </c>
    </row>
    <row r="19" spans="3:14" x14ac:dyDescent="0.25">
      <c r="C19" t="s">
        <v>16</v>
      </c>
      <c r="D19" s="7">
        <f>-304739-90619</f>
        <v>-395358</v>
      </c>
      <c r="E19" s="7">
        <f>-326288-98505</f>
        <v>-424793</v>
      </c>
      <c r="F19" s="7">
        <f>-356414-109074</f>
        <v>-465488</v>
      </c>
      <c r="G19" s="25">
        <f ca="1">G20-G18</f>
        <v>-522481.62177080585</v>
      </c>
      <c r="H19" s="25">
        <f ca="1">H20-H18</f>
        <v>-573155.31512625108</v>
      </c>
      <c r="I19" s="25">
        <f ca="1">I20-I18</f>
        <v>-635790.84561611223</v>
      </c>
      <c r="J19" s="25">
        <f ca="1">J20-J18</f>
        <v>-716466.09170000243</v>
      </c>
      <c r="K19" s="25">
        <f ca="1">K20-K18</f>
        <v>-807378.18748937896</v>
      </c>
    </row>
    <row r="20" spans="3:14" x14ac:dyDescent="0.25">
      <c r="C20" s="13" t="s">
        <v>17</v>
      </c>
      <c r="D20" s="26">
        <f>SUM(D18:D19)</f>
        <v>179427</v>
      </c>
      <c r="E20" s="26">
        <f>SUM(E18:E19)</f>
        <v>213166</v>
      </c>
      <c r="F20" s="26">
        <f>SUM(F18:F19)</f>
        <v>251436</v>
      </c>
      <c r="G20" s="26">
        <f ca="1">G18*G40</f>
        <v>282574.80622735416</v>
      </c>
      <c r="H20" s="26">
        <f t="shared" ref="H20:K20" ca="1" si="0">H18*H40</f>
        <v>322399.8647585162</v>
      </c>
      <c r="I20" s="26">
        <f t="shared" ca="1" si="0"/>
        <v>373400.97282216116</v>
      </c>
      <c r="J20" s="26">
        <f t="shared" ca="1" si="0"/>
        <v>420781.67290317605</v>
      </c>
      <c r="K20" s="26">
        <f t="shared" ca="1" si="0"/>
        <v>474174.49106519081</v>
      </c>
      <c r="M20" s="27"/>
    </row>
    <row r="21" spans="3:14" x14ac:dyDescent="0.25">
      <c r="C21" t="s">
        <v>18</v>
      </c>
      <c r="D21" s="7">
        <f>-44370-11816</f>
        <v>-56186</v>
      </c>
      <c r="E21" s="7">
        <f>-43907-11359</f>
        <v>-55266</v>
      </c>
      <c r="F21" s="7">
        <f>-47129-11172</f>
        <v>-58301</v>
      </c>
      <c r="G21" s="25">
        <f ca="1">-G18*G42</f>
        <v>-61140.999847967803</v>
      </c>
      <c r="H21" s="25">
        <f ca="1">-H18*H42</f>
        <v>-66852.999991397897</v>
      </c>
      <c r="I21" s="25">
        <f ca="1">-I18*I42</f>
        <v>-66852.999896544832</v>
      </c>
      <c r="J21" s="25">
        <f ca="1">-J18*J42</f>
        <v>-75335.95031221745</v>
      </c>
      <c r="K21" s="25">
        <f ca="1">-K18*K42</f>
        <v>-84895.298912954589</v>
      </c>
      <c r="M21" s="27"/>
    </row>
    <row r="22" spans="3:14" x14ac:dyDescent="0.25">
      <c r="C22" t="s">
        <v>19</v>
      </c>
      <c r="D22" s="7">
        <v>-85622</v>
      </c>
      <c r="E22" s="7">
        <v>-88544</v>
      </c>
      <c r="F22" s="7">
        <v>-108521</v>
      </c>
      <c r="G22" s="25">
        <f ca="1">G18*G41*-1</f>
        <v>-120758.464199724</v>
      </c>
      <c r="H22" s="25">
        <f t="shared" ref="H22:K22" ca="1" si="1">H18*H41*-1</f>
        <v>-138811.05288213893</v>
      </c>
      <c r="I22" s="25">
        <f t="shared" ca="1" si="1"/>
        <v>-158443.11549480891</v>
      </c>
      <c r="J22" s="25">
        <f t="shared" ca="1" si="1"/>
        <v>-178547.89904269902</v>
      </c>
      <c r="K22" s="25">
        <f t="shared" ca="1" si="1"/>
        <v>-201203.77053306747</v>
      </c>
      <c r="M22" s="27"/>
    </row>
    <row r="23" spans="3:14" x14ac:dyDescent="0.25">
      <c r="C23" t="s">
        <v>20</v>
      </c>
      <c r="D23" s="7">
        <v>-767</v>
      </c>
      <c r="E23" s="7">
        <v>-763</v>
      </c>
      <c r="F23" s="7">
        <v>-4639</v>
      </c>
      <c r="G23" s="28">
        <f>$E$23</f>
        <v>-763</v>
      </c>
      <c r="H23" s="28">
        <f t="shared" ref="H23:K23" si="2">$E$23</f>
        <v>-763</v>
      </c>
      <c r="I23" s="28">
        <f t="shared" si="2"/>
        <v>-763</v>
      </c>
      <c r="J23" s="28">
        <f t="shared" si="2"/>
        <v>-763</v>
      </c>
      <c r="K23" s="28">
        <f t="shared" si="2"/>
        <v>-763</v>
      </c>
    </row>
    <row r="24" spans="3:14" x14ac:dyDescent="0.25">
      <c r="C24" s="13" t="s">
        <v>21</v>
      </c>
      <c r="D24" s="26">
        <f>SUM(D20:D23)</f>
        <v>36852</v>
      </c>
      <c r="E24" s="26">
        <f t="shared" ref="E24:K24" si="3">SUM(E20:E23)</f>
        <v>68593</v>
      </c>
      <c r="F24" s="26">
        <f t="shared" si="3"/>
        <v>79975</v>
      </c>
      <c r="G24" s="26">
        <f t="shared" ca="1" si="3"/>
        <v>99912.342179662344</v>
      </c>
      <c r="H24" s="26">
        <f t="shared" ca="1" si="3"/>
        <v>115972.81188497937</v>
      </c>
      <c r="I24" s="26">
        <f t="shared" ca="1" si="3"/>
        <v>147341.8574308074</v>
      </c>
      <c r="J24" s="26">
        <f t="shared" ca="1" si="3"/>
        <v>166134.82354825956</v>
      </c>
      <c r="K24" s="26">
        <f t="shared" ca="1" si="3"/>
        <v>187312.42161916877</v>
      </c>
      <c r="M24" s="13"/>
    </row>
    <row r="25" spans="3:14" x14ac:dyDescent="0.25">
      <c r="C25" t="s">
        <v>22</v>
      </c>
      <c r="D25" s="7">
        <v>2949</v>
      </c>
      <c r="E25" s="7">
        <v>4677</v>
      </c>
      <c r="F25" s="7">
        <v>4381</v>
      </c>
      <c r="G25" s="28">
        <f ca="1">G138</f>
        <v>3512.4978350330844</v>
      </c>
      <c r="H25" s="28">
        <f t="shared" ref="H25:K25" ca="1" si="4">H138</f>
        <v>3399.5168323577755</v>
      </c>
      <c r="I25" s="28">
        <f t="shared" ca="1" si="4"/>
        <v>3823.6780458298358</v>
      </c>
      <c r="J25" s="28">
        <f t="shared" ca="1" si="4"/>
        <v>4665.8362501462043</v>
      </c>
      <c r="K25" s="28">
        <f t="shared" ca="1" si="4"/>
        <v>5755.9661263274547</v>
      </c>
    </row>
    <row r="26" spans="3:14" x14ac:dyDescent="0.25">
      <c r="C26" t="s">
        <v>23</v>
      </c>
      <c r="D26" s="7">
        <v>-3182</v>
      </c>
      <c r="E26" s="7">
        <v>-2406</v>
      </c>
      <c r="F26" s="7">
        <v>-2274</v>
      </c>
      <c r="G26" s="28">
        <f>G134</f>
        <v>-2524.4320585773353</v>
      </c>
      <c r="H26" s="28">
        <f t="shared" ref="H26:K26" si="5">H134</f>
        <v>-2524.4320585773353</v>
      </c>
      <c r="I26" s="28">
        <f t="shared" si="5"/>
        <v>-2524.4320585773353</v>
      </c>
      <c r="J26" s="28">
        <f t="shared" si="5"/>
        <v>-2524.4320585773353</v>
      </c>
      <c r="K26" s="28">
        <f t="shared" si="5"/>
        <v>-2524.4320585773353</v>
      </c>
    </row>
    <row r="27" spans="3:14" x14ac:dyDescent="0.25">
      <c r="C27" t="s">
        <v>24</v>
      </c>
      <c r="D27" s="7">
        <v>938</v>
      </c>
      <c r="E27" s="7">
        <v>-2250</v>
      </c>
      <c r="F27" s="7">
        <v>15229</v>
      </c>
      <c r="G27" s="28">
        <f>F27</f>
        <v>15229</v>
      </c>
      <c r="H27" s="28">
        <f>G27</f>
        <v>15229</v>
      </c>
      <c r="I27" s="28">
        <f>H27</f>
        <v>15229</v>
      </c>
      <c r="J27" s="28">
        <f>I27</f>
        <v>15229</v>
      </c>
      <c r="K27" s="28">
        <f>J27</f>
        <v>15229</v>
      </c>
    </row>
    <row r="28" spans="3:14" x14ac:dyDescent="0.25">
      <c r="C28" s="13" t="s">
        <v>25</v>
      </c>
      <c r="D28" s="26">
        <f t="shared" ref="D28:K28" si="6">SUM(D24:D27)</f>
        <v>37557</v>
      </c>
      <c r="E28" s="26">
        <f t="shared" si="6"/>
        <v>68614</v>
      </c>
      <c r="F28" s="26">
        <f t="shared" si="6"/>
        <v>97311</v>
      </c>
      <c r="G28" s="26">
        <f t="shared" ca="1" si="6"/>
        <v>116129.40795611808</v>
      </c>
      <c r="H28" s="26">
        <f t="shared" ca="1" si="6"/>
        <v>132076.8966587598</v>
      </c>
      <c r="I28" s="26">
        <f t="shared" ca="1" si="6"/>
        <v>163870.10341805991</v>
      </c>
      <c r="J28" s="26">
        <f t="shared" ca="1" si="6"/>
        <v>183505.22773982844</v>
      </c>
      <c r="K28" s="26">
        <f t="shared" ca="1" si="6"/>
        <v>205772.9556869189</v>
      </c>
      <c r="M28" s="13"/>
      <c r="N28" s="13"/>
    </row>
    <row r="29" spans="3:14" x14ac:dyDescent="0.25">
      <c r="C29" t="s">
        <v>26</v>
      </c>
      <c r="D29" s="7">
        <v>-7120</v>
      </c>
      <c r="E29" s="7">
        <v>-9265</v>
      </c>
      <c r="F29" s="7">
        <v>-19087</v>
      </c>
      <c r="G29" s="25">
        <f ca="1">-G43*G28</f>
        <v>-21530.392235064293</v>
      </c>
      <c r="H29" s="25">
        <f ca="1">-H43*H28</f>
        <v>-24764.418123517462</v>
      </c>
      <c r="I29" s="25">
        <f ca="1">-I43*I28</f>
        <v>-30479.839235759144</v>
      </c>
      <c r="J29" s="25">
        <f ca="1">-J43*J28</f>
        <v>-34131.972359608088</v>
      </c>
      <c r="K29" s="25">
        <f ca="1">-K43*K28</f>
        <v>-38273.769757766917</v>
      </c>
    </row>
    <row r="30" spans="3:14" x14ac:dyDescent="0.25">
      <c r="C30" t="s">
        <v>27</v>
      </c>
      <c r="D30" s="7">
        <v>-12</v>
      </c>
      <c r="E30" s="7">
        <v>-101</v>
      </c>
      <c r="F30" s="7">
        <v>-554</v>
      </c>
      <c r="G30" s="25"/>
      <c r="H30" s="25"/>
      <c r="I30" s="25"/>
      <c r="J30" s="25"/>
      <c r="K30" s="25"/>
    </row>
    <row r="31" spans="3:14" x14ac:dyDescent="0.25">
      <c r="C31" s="13" t="s">
        <v>28</v>
      </c>
      <c r="D31" s="26">
        <f>SUM(D28:D30)</f>
        <v>30425</v>
      </c>
      <c r="E31" s="26">
        <f>SUM(E28:E30)</f>
        <v>59248</v>
      </c>
      <c r="F31" s="26">
        <f>SUM(F28:F30)</f>
        <v>77670</v>
      </c>
      <c r="G31" s="26">
        <f t="shared" ref="G31:K31" ca="1" si="7">SUM(G28:G30)</f>
        <v>94599.015721053787</v>
      </c>
      <c r="H31" s="26">
        <f t="shared" ca="1" si="7"/>
        <v>107312.47853524234</v>
      </c>
      <c r="I31" s="26">
        <f t="shared" ca="1" si="7"/>
        <v>133390.26418230077</v>
      </c>
      <c r="J31" s="26">
        <f t="shared" ca="1" si="7"/>
        <v>149373.25538022036</v>
      </c>
      <c r="K31" s="26">
        <f t="shared" ca="1" si="7"/>
        <v>167499.18592915198</v>
      </c>
      <c r="M31" s="13"/>
    </row>
    <row r="32" spans="3:14" x14ac:dyDescent="0.25">
      <c r="C32" s="29"/>
      <c r="D32" s="28"/>
      <c r="E32" s="28"/>
      <c r="F32" s="28"/>
      <c r="G32" s="28"/>
      <c r="H32" s="28"/>
      <c r="I32" s="28"/>
      <c r="J32" s="28"/>
      <c r="K32" s="28"/>
    </row>
    <row r="33" spans="3:20" x14ac:dyDescent="0.25">
      <c r="C33" s="30" t="s">
        <v>29</v>
      </c>
      <c r="D33" s="7">
        <v>48663</v>
      </c>
      <c r="E33" s="7">
        <v>52795</v>
      </c>
      <c r="F33" s="7">
        <v>65756</v>
      </c>
      <c r="G33" s="28">
        <f ca="1">G109</f>
        <v>86990.258017268876</v>
      </c>
      <c r="H33" s="28">
        <f ca="1">H109</f>
        <v>94008.777083406385</v>
      </c>
      <c r="I33" s="28">
        <f ca="1">I109</f>
        <v>107411.24738941563</v>
      </c>
      <c r="J33" s="28">
        <f ca="1">J109</f>
        <v>125444.2652907657</v>
      </c>
      <c r="K33" s="28">
        <f ca="1">K109</f>
        <v>146324.26271365149</v>
      </c>
    </row>
    <row r="34" spans="3:20" x14ac:dyDescent="0.25">
      <c r="C34" s="31" t="s">
        <v>30</v>
      </c>
      <c r="D34" s="26">
        <f t="shared" ref="D34:K34" si="8">D24+D33</f>
        <v>85515</v>
      </c>
      <c r="E34" s="26">
        <f t="shared" si="8"/>
        <v>121388</v>
      </c>
      <c r="F34" s="26">
        <f t="shared" si="8"/>
        <v>145731</v>
      </c>
      <c r="G34" s="26">
        <f t="shared" ca="1" si="8"/>
        <v>186902.60019693122</v>
      </c>
      <c r="H34" s="26">
        <f t="shared" ca="1" si="8"/>
        <v>209981.58896838577</v>
      </c>
      <c r="I34" s="26">
        <f t="shared" ca="1" si="8"/>
        <v>254753.10482022303</v>
      </c>
      <c r="J34" s="26">
        <f t="shared" ca="1" si="8"/>
        <v>291579.08883902524</v>
      </c>
      <c r="K34" s="26">
        <f t="shared" ca="1" si="8"/>
        <v>333636.68433282024</v>
      </c>
      <c r="M34" s="13"/>
    </row>
    <row r="35" spans="3:20" x14ac:dyDescent="0.25">
      <c r="C35" s="30" t="s">
        <v>31</v>
      </c>
      <c r="D35" s="7">
        <v>24023</v>
      </c>
      <c r="E35" s="7">
        <v>22011</v>
      </c>
      <c r="F35" s="7">
        <v>19467</v>
      </c>
      <c r="G35" s="28">
        <f ca="1">F35*(1+G39)</f>
        <v>21860.104395779999</v>
      </c>
      <c r="H35" s="28">
        <f ca="1">G35*(1+H39)</f>
        <v>24317.462781015511</v>
      </c>
      <c r="I35" s="28">
        <f ca="1">H35*(1+I39)</f>
        <v>27403.095906313454</v>
      </c>
      <c r="J35" s="28">
        <f ca="1">I35*(1+J39)</f>
        <v>30880.263784627205</v>
      </c>
      <c r="K35" s="28">
        <f ca="1">J35*(1+K39)</f>
        <v>34798.648104153035</v>
      </c>
    </row>
    <row r="36" spans="3:20" x14ac:dyDescent="0.25">
      <c r="C36" s="31" t="s">
        <v>32</v>
      </c>
      <c r="D36" s="26">
        <f t="shared" ref="D36:K36" si="9">SUM(D34:D35)</f>
        <v>109538</v>
      </c>
      <c r="E36" s="26">
        <f t="shared" si="9"/>
        <v>143399</v>
      </c>
      <c r="F36" s="26">
        <f>SUM(F34:F35)</f>
        <v>165198</v>
      </c>
      <c r="G36" s="26">
        <f t="shared" ca="1" si="9"/>
        <v>208762.70459271123</v>
      </c>
      <c r="H36" s="26">
        <f t="shared" ca="1" si="9"/>
        <v>234299.05174940129</v>
      </c>
      <c r="I36" s="26">
        <f t="shared" ca="1" si="9"/>
        <v>282156.20072653651</v>
      </c>
      <c r="J36" s="26">
        <f t="shared" ca="1" si="9"/>
        <v>322459.35262365243</v>
      </c>
      <c r="K36" s="26">
        <f t="shared" ca="1" si="9"/>
        <v>368435.33243697329</v>
      </c>
      <c r="M36" s="13"/>
    </row>
    <row r="37" spans="3:20" x14ac:dyDescent="0.25">
      <c r="C37" s="29"/>
      <c r="G37" s="32"/>
    </row>
    <row r="38" spans="3:20" x14ac:dyDescent="0.25">
      <c r="C38" s="33" t="s">
        <v>33</v>
      </c>
    </row>
    <row r="39" spans="3:20" x14ac:dyDescent="0.25">
      <c r="C39" s="29" t="s">
        <v>34</v>
      </c>
      <c r="D39" s="34"/>
      <c r="E39" s="34">
        <f>E18/D18-1</f>
        <v>0.1099089224666614</v>
      </c>
      <c r="F39" s="34">
        <f>F18/E18-1</f>
        <v>0.12377754683294695</v>
      </c>
      <c r="G39" s="34">
        <f t="shared" ref="G39:K40" ca="1" si="10">G156</f>
        <v>0.12293134</v>
      </c>
      <c r="H39" s="34">
        <f t="shared" ca="1" si="10"/>
        <v>0.11241292999999999</v>
      </c>
      <c r="I39" s="34">
        <f t="shared" ca="1" si="10"/>
        <v>0.12688959999999999</v>
      </c>
      <c r="J39" s="34">
        <f t="shared" ca="1" si="10"/>
        <v>0.12688959999999999</v>
      </c>
      <c r="K39" s="34">
        <f t="shared" ca="1" si="10"/>
        <v>0.12688959999999999</v>
      </c>
      <c r="O39" s="35"/>
      <c r="P39" s="35"/>
      <c r="Q39" s="35"/>
      <c r="R39" s="35"/>
      <c r="S39" s="35"/>
      <c r="T39" s="35"/>
    </row>
    <row r="40" spans="3:20" x14ac:dyDescent="0.25">
      <c r="C40" s="29" t="s">
        <v>35</v>
      </c>
      <c r="D40" s="34">
        <f>D20/D18</f>
        <v>0.31216367859286515</v>
      </c>
      <c r="E40" s="34">
        <f>E20/E18</f>
        <v>0.33413746024431035</v>
      </c>
      <c r="F40" s="34">
        <f>F20/F18</f>
        <v>0.35071499907940035</v>
      </c>
      <c r="G40" s="34">
        <f t="shared" ca="1" si="10"/>
        <v>0.35099999999999998</v>
      </c>
      <c r="H40" s="34">
        <f t="shared" ca="1" si="10"/>
        <v>0.36</v>
      </c>
      <c r="I40" s="34">
        <f t="shared" ca="1" si="10"/>
        <v>0.37</v>
      </c>
      <c r="J40" s="34">
        <f t="shared" ca="1" si="10"/>
        <v>0.37</v>
      </c>
      <c r="K40" s="34">
        <f t="shared" ca="1" si="10"/>
        <v>0.37</v>
      </c>
      <c r="O40" s="35"/>
      <c r="P40" s="35"/>
      <c r="Q40" s="35"/>
      <c r="R40" s="35"/>
      <c r="S40" s="35"/>
      <c r="T40" s="35"/>
    </row>
    <row r="41" spans="3:20" x14ac:dyDescent="0.25">
      <c r="C41" s="29" t="s">
        <v>36</v>
      </c>
      <c r="D41" s="34">
        <f>D22/D18*-1</f>
        <v>0.14896352549214054</v>
      </c>
      <c r="E41" s="34">
        <f t="shared" ref="E41:F41" si="11">E22/E18*-1</f>
        <v>0.13879261833440706</v>
      </c>
      <c r="F41" s="34">
        <f t="shared" si="11"/>
        <v>0.15137029866485149</v>
      </c>
      <c r="G41" s="34">
        <f>G171</f>
        <v>0.15</v>
      </c>
      <c r="H41" s="34">
        <f t="shared" ref="H41:K41" si="12">H171</f>
        <v>0.155</v>
      </c>
      <c r="I41" s="34">
        <f t="shared" si="12"/>
        <v>0.157</v>
      </c>
      <c r="J41" s="34">
        <f t="shared" si="12"/>
        <v>0.157</v>
      </c>
      <c r="K41" s="34">
        <f t="shared" si="12"/>
        <v>0.157</v>
      </c>
      <c r="O41" s="35"/>
      <c r="P41" s="35"/>
      <c r="Q41" s="35"/>
      <c r="R41" s="35"/>
      <c r="S41" s="35"/>
      <c r="T41" s="35"/>
    </row>
    <row r="42" spans="3:20" x14ac:dyDescent="0.25">
      <c r="C42" s="29" t="s">
        <v>37</v>
      </c>
      <c r="D42" s="34">
        <f>D21/D18*-1</f>
        <v>9.7751333107161803E-2</v>
      </c>
      <c r="E42" s="34">
        <f>E21/E18*-1</f>
        <v>8.6629391543970688E-2</v>
      </c>
      <c r="F42" s="34">
        <f>F21/F18*-1</f>
        <v>8.132103263386356E-2</v>
      </c>
      <c r="G42" s="34">
        <f ca="1">G159</f>
        <v>7.5946229011548919E-2</v>
      </c>
      <c r="H42" s="34">
        <f ca="1">H159</f>
        <v>7.4649783165789962E-2</v>
      </c>
      <c r="I42" s="34">
        <f ca="1">I159</f>
        <v>6.6244096191742818E-2</v>
      </c>
      <c r="J42" s="34">
        <f ca="1">J159</f>
        <v>6.6244096191742818E-2</v>
      </c>
      <c r="K42" s="34">
        <f ca="1">K159</f>
        <v>6.6244096191742818E-2</v>
      </c>
      <c r="O42" s="35"/>
      <c r="P42" s="35"/>
      <c r="Q42" s="35"/>
      <c r="R42" s="35"/>
      <c r="S42" s="35"/>
      <c r="T42" s="35"/>
    </row>
    <row r="43" spans="3:20" x14ac:dyDescent="0.25">
      <c r="C43" s="29" t="s">
        <v>38</v>
      </c>
      <c r="D43" s="34">
        <f>-D29/D28</f>
        <v>0.18957850733551668</v>
      </c>
      <c r="E43" s="34">
        <f t="shared" ref="E43:F43" si="13">-E29/E28</f>
        <v>0.13503075174162707</v>
      </c>
      <c r="F43" s="34">
        <f t="shared" si="13"/>
        <v>0.19614432078593375</v>
      </c>
      <c r="G43" s="35">
        <v>0.18540000000000001</v>
      </c>
      <c r="H43" s="35">
        <v>0.1875</v>
      </c>
      <c r="I43" s="35">
        <v>0.186</v>
      </c>
      <c r="J43" s="34">
        <f>I43</f>
        <v>0.186</v>
      </c>
      <c r="K43" s="34">
        <f>J43</f>
        <v>0.186</v>
      </c>
      <c r="O43" s="35"/>
      <c r="P43" s="35"/>
      <c r="Q43" s="35"/>
      <c r="R43" s="35"/>
      <c r="S43" s="35"/>
      <c r="T43" s="35"/>
    </row>
    <row r="44" spans="3:20" x14ac:dyDescent="0.25">
      <c r="C44" s="29"/>
      <c r="G44" s="32"/>
    </row>
    <row r="45" spans="3:20" x14ac:dyDescent="0.25">
      <c r="C45" s="14" t="s">
        <v>39</v>
      </c>
      <c r="D45" s="36"/>
      <c r="E45" s="36"/>
      <c r="F45" s="36"/>
      <c r="G45" s="15"/>
      <c r="H45" s="15"/>
      <c r="I45" s="15"/>
      <c r="J45" s="15"/>
      <c r="K45" s="15"/>
    </row>
    <row r="46" spans="3:20" x14ac:dyDescent="0.25">
      <c r="C46" s="37" t="str">
        <f>C15</f>
        <v xml:space="preserve">Fiscal year  </v>
      </c>
      <c r="D46" s="38"/>
      <c r="E46" s="38">
        <f t="shared" ref="E46:K47" si="14">E15</f>
        <v>2024</v>
      </c>
      <c r="F46" s="38">
        <f t="shared" si="14"/>
        <v>2025</v>
      </c>
      <c r="G46" s="39">
        <f t="shared" si="14"/>
        <v>2026</v>
      </c>
      <c r="H46" s="39">
        <f t="shared" si="14"/>
        <v>2027</v>
      </c>
      <c r="I46" s="39">
        <f t="shared" si="14"/>
        <v>2028</v>
      </c>
      <c r="J46" s="39">
        <f t="shared" si="14"/>
        <v>2029</v>
      </c>
      <c r="K46" s="39">
        <f t="shared" si="14"/>
        <v>2030</v>
      </c>
    </row>
    <row r="47" spans="3:20" x14ac:dyDescent="0.25">
      <c r="C47" s="15" t="str">
        <f>C16</f>
        <v>Fiscal year end date</v>
      </c>
      <c r="D47" s="40"/>
      <c r="E47" s="40">
        <f t="shared" si="14"/>
        <v>45657</v>
      </c>
      <c r="F47" s="40">
        <f t="shared" si="14"/>
        <v>46022</v>
      </c>
      <c r="G47" s="40">
        <f t="shared" si="14"/>
        <v>46387</v>
      </c>
      <c r="H47" s="40">
        <f t="shared" si="14"/>
        <v>46752</v>
      </c>
      <c r="I47" s="40">
        <f t="shared" si="14"/>
        <v>47118</v>
      </c>
      <c r="J47" s="40">
        <f t="shared" si="14"/>
        <v>47483</v>
      </c>
      <c r="K47" s="40">
        <f t="shared" si="14"/>
        <v>47848</v>
      </c>
    </row>
    <row r="48" spans="3:20" x14ac:dyDescent="0.25">
      <c r="C48" t="s">
        <v>40</v>
      </c>
      <c r="D48" s="7"/>
      <c r="E48" s="7">
        <f>78779+22423</f>
        <v>101202</v>
      </c>
      <c r="F48" s="7">
        <f>86810+36219</f>
        <v>123029</v>
      </c>
      <c r="G48" s="28">
        <f ca="1">G93+F48</f>
        <v>111137.52233553896</v>
      </c>
      <c r="H48" s="28">
        <f ca="1">H93+G48</f>
        <v>115496.9331549794</v>
      </c>
      <c r="I48" s="28">
        <f ca="1">I93+H48</f>
        <v>139414.93656700966</v>
      </c>
      <c r="J48" s="28">
        <f ca="1">J93+I48</f>
        <v>171640.81344273736</v>
      </c>
      <c r="K48" s="28">
        <f ca="1">K93+J48</f>
        <v>212090.26164575969</v>
      </c>
    </row>
    <row r="49" spans="3:11" x14ac:dyDescent="0.25">
      <c r="C49" t="s">
        <v>41</v>
      </c>
      <c r="D49" s="7"/>
      <c r="E49" s="7">
        <v>55451</v>
      </c>
      <c r="F49" s="7">
        <v>67729</v>
      </c>
      <c r="G49" s="28">
        <f ca="1">F49*(1+G39)</f>
        <v>76055.016726860005</v>
      </c>
      <c r="H49" s="28">
        <f ca="1">G49*(1+H39)</f>
        <v>84604.583998325354</v>
      </c>
      <c r="I49" s="28">
        <f ca="1">H49*(1+I39)</f>
        <v>95340.025820039256</v>
      </c>
      <c r="J49" s="28">
        <f ca="1">I49*(1+J39)</f>
        <v>107437.68356033371</v>
      </c>
      <c r="K49" s="28">
        <f ca="1">J49*(1+K39)</f>
        <v>121070.40825223102</v>
      </c>
    </row>
    <row r="50" spans="3:11" x14ac:dyDescent="0.25">
      <c r="C50" t="s">
        <v>42</v>
      </c>
      <c r="D50" s="7"/>
      <c r="E50" s="7">
        <v>34214</v>
      </c>
      <c r="F50" s="7">
        <v>38325</v>
      </c>
      <c r="G50" s="28">
        <f ca="1">F50*G19/F19</f>
        <v>43017.452983462805</v>
      </c>
      <c r="H50" s="28">
        <f ca="1">G50*H19/G19</f>
        <v>47189.567619817426</v>
      </c>
      <c r="I50" s="28">
        <f ca="1">H50*I19/H19</f>
        <v>52346.535588967927</v>
      </c>
      <c r="J50" s="28">
        <f ca="1">I50*J19/I19</f>
        <v>58988.76655123783</v>
      </c>
      <c r="K50" s="28">
        <f ca="1">J50*K19/J19</f>
        <v>66473.827543417778</v>
      </c>
    </row>
    <row r="51" spans="3:11" x14ac:dyDescent="0.25">
      <c r="C51" t="s">
        <v>43</v>
      </c>
      <c r="D51" s="7"/>
      <c r="E51" s="7">
        <v>252665</v>
      </c>
      <c r="F51" s="7">
        <v>357025</v>
      </c>
      <c r="G51" s="28">
        <f>G102</f>
        <v>475008.41202977113</v>
      </c>
      <c r="H51" s="28">
        <f>H102</f>
        <v>590223.80563593714</v>
      </c>
      <c r="I51" s="28">
        <f>I102</f>
        <v>711783.40417917748</v>
      </c>
      <c r="J51" s="28">
        <f ca="1">J102</f>
        <v>844364.00387312414</v>
      </c>
      <c r="K51" s="28">
        <f ca="1">K102</f>
        <v>988805.27805214899</v>
      </c>
    </row>
    <row r="52" spans="3:11" x14ac:dyDescent="0.25">
      <c r="C52" t="s">
        <v>44</v>
      </c>
      <c r="D52" s="7"/>
      <c r="E52" s="7">
        <f>76141+23074+82147</f>
        <v>181362</v>
      </c>
      <c r="F52" s="7">
        <f>86054+23273+122607</f>
        <v>231934</v>
      </c>
      <c r="G52" s="28">
        <f ca="1">F52*(1+G39)</f>
        <v>260445.95741156003</v>
      </c>
      <c r="H52" s="28">
        <f ca="1">G52*(1+H39)</f>
        <v>289723.45059084875</v>
      </c>
      <c r="I52" s="28">
        <f ca="1">H52*(1+I39)</f>
        <v>326486.34334694128</v>
      </c>
      <c r="J52" s="28">
        <f ca="1">I52*(1+J39)</f>
        <v>367914.0648596973</v>
      </c>
      <c r="K52" s="28">
        <f ca="1">J52*(1+K39)</f>
        <v>414598.53338411835</v>
      </c>
    </row>
    <row r="53" spans="3:11" x14ac:dyDescent="0.25">
      <c r="C53" s="31" t="s">
        <v>45</v>
      </c>
      <c r="D53" s="26"/>
      <c r="E53" s="26">
        <f t="shared" ref="E53:K53" si="15">SUM(E48:E52)</f>
        <v>624894</v>
      </c>
      <c r="F53" s="26">
        <f t="shared" si="15"/>
        <v>818042</v>
      </c>
      <c r="G53" s="41">
        <f t="shared" ca="1" si="15"/>
        <v>965664.36148719292</v>
      </c>
      <c r="H53" s="41">
        <f t="shared" ca="1" si="15"/>
        <v>1127238.340999908</v>
      </c>
      <c r="I53" s="41">
        <f t="shared" ca="1" si="15"/>
        <v>1325371.2455021357</v>
      </c>
      <c r="J53" s="41">
        <f t="shared" ca="1" si="15"/>
        <v>1550345.3322871304</v>
      </c>
      <c r="K53" s="41">
        <f t="shared" ca="1" si="15"/>
        <v>1803038.3088776758</v>
      </c>
    </row>
    <row r="54" spans="3:11" x14ac:dyDescent="0.25">
      <c r="C54" s="30"/>
      <c r="D54" s="28"/>
      <c r="E54" s="28"/>
      <c r="F54" s="28"/>
      <c r="G54" s="28"/>
      <c r="H54" s="28"/>
      <c r="I54" s="28"/>
      <c r="J54" s="28"/>
      <c r="K54" s="28"/>
    </row>
    <row r="55" spans="3:11" x14ac:dyDescent="0.25">
      <c r="C55" s="30" t="s">
        <v>46</v>
      </c>
      <c r="D55" s="7"/>
      <c r="E55" s="7">
        <v>94363</v>
      </c>
      <c r="F55" s="7">
        <v>121909</v>
      </c>
      <c r="G55" s="28">
        <f ca="1">F55*G19/F19</f>
        <v>136835.34705181909</v>
      </c>
      <c r="H55" s="28">
        <f ca="1">G55*H19/G19</f>
        <v>150106.53617649892</v>
      </c>
      <c r="I55" s="28">
        <f ca="1">H55*I19/H19</f>
        <v>166510.47115761225</v>
      </c>
      <c r="J55" s="28">
        <f ca="1">I55*J19/I19</f>
        <v>187638.9182386132</v>
      </c>
      <c r="K55" s="28">
        <f ca="1">J55*K19/J19</f>
        <v>211448.3455183435</v>
      </c>
    </row>
    <row r="56" spans="3:11" x14ac:dyDescent="0.25">
      <c r="C56" s="30" t="s">
        <v>47</v>
      </c>
      <c r="D56" s="7"/>
      <c r="E56" s="7">
        <v>66965</v>
      </c>
      <c r="F56" s="7">
        <v>75520</v>
      </c>
      <c r="G56" s="28">
        <f ca="1">F56*(1+G39)</f>
        <v>84803.774796800004</v>
      </c>
      <c r="H56" s="28">
        <f ca="1">G56*(1+H39)</f>
        <v>94336.815596768458</v>
      </c>
      <c r="I56" s="28">
        <f ca="1">H56*(1+I39)</f>
        <v>106307.17639311617</v>
      </c>
      <c r="J56" s="28">
        <f ca="1">I56*(1+J39)</f>
        <v>119796.45148276811</v>
      </c>
      <c r="K56" s="28">
        <f ca="1">J56*(1+K39)</f>
        <v>134997.37529283596</v>
      </c>
    </row>
    <row r="57" spans="3:11" x14ac:dyDescent="0.25">
      <c r="C57" s="30" t="s">
        <v>48</v>
      </c>
      <c r="D57" s="7"/>
      <c r="E57" s="7">
        <v>18103</v>
      </c>
      <c r="F57" s="7">
        <v>20576</v>
      </c>
      <c r="G57" s="28">
        <f ca="1">F57*(1+G39)</f>
        <v>23105.435251840001</v>
      </c>
      <c r="H57" s="28">
        <f ca="1">G57*(1+H39)</f>
        <v>25702.784927424625</v>
      </c>
      <c r="I57" s="28">
        <f ca="1">H57*(1+I39)</f>
        <v>28964.201025751565</v>
      </c>
      <c r="J57" s="28">
        <f ca="1">I57*(1+J39)</f>
        <v>32639.456908228767</v>
      </c>
      <c r="K57" s="28">
        <f ca="1">J57*(1+K39)</f>
        <v>36781.064539531151</v>
      </c>
    </row>
    <row r="58" spans="3:11" x14ac:dyDescent="0.25">
      <c r="C58" s="30" t="s">
        <v>49</v>
      </c>
      <c r="D58" s="7"/>
      <c r="E58" s="7">
        <v>78277</v>
      </c>
      <c r="F58" s="7">
        <v>87339</v>
      </c>
      <c r="G58" s="28">
        <f>F58</f>
        <v>87339</v>
      </c>
      <c r="H58" s="28">
        <f t="shared" ref="H58:K59" si="16">G58</f>
        <v>87339</v>
      </c>
      <c r="I58" s="28">
        <f t="shared" si="16"/>
        <v>87339</v>
      </c>
      <c r="J58" s="28">
        <f t="shared" si="16"/>
        <v>87339</v>
      </c>
      <c r="K58" s="28">
        <f t="shared" si="16"/>
        <v>87339</v>
      </c>
    </row>
    <row r="59" spans="3:11" x14ac:dyDescent="0.25">
      <c r="C59" s="30" t="s">
        <v>50</v>
      </c>
      <c r="D59" s="7"/>
      <c r="E59" s="7">
        <v>52623</v>
      </c>
      <c r="F59" s="7">
        <v>65648</v>
      </c>
      <c r="G59" s="28">
        <f>F59</f>
        <v>65648</v>
      </c>
      <c r="H59" s="28">
        <f t="shared" si="16"/>
        <v>65648</v>
      </c>
      <c r="I59" s="28">
        <f t="shared" si="16"/>
        <v>65648</v>
      </c>
      <c r="J59" s="28">
        <f t="shared" si="16"/>
        <v>65648</v>
      </c>
      <c r="K59" s="28">
        <f t="shared" si="16"/>
        <v>65648</v>
      </c>
    </row>
    <row r="60" spans="3:11" ht="15.75" customHeight="1" x14ac:dyDescent="0.25">
      <c r="C60" s="30" t="s">
        <v>51</v>
      </c>
      <c r="D60" s="7"/>
      <c r="E60" s="7">
        <v>28593</v>
      </c>
      <c r="F60" s="7">
        <v>35985</v>
      </c>
      <c r="G60" s="28">
        <f ca="1">F60*(1+G39)</f>
        <v>40408.684269900004</v>
      </c>
      <c r="H60" s="28">
        <f ca="1">G60*(1+H39)</f>
        <v>44951.142866124377</v>
      </c>
      <c r="I60" s="28">
        <f ca="1">H60*(1+I39)</f>
        <v>50654.975403949749</v>
      </c>
      <c r="J60" s="28">
        <f ca="1">I60*(1+J39)</f>
        <v>57082.56497096677</v>
      </c>
      <c r="K60" s="28">
        <f ca="1">J60*(1+K39)</f>
        <v>64325.748807106749</v>
      </c>
    </row>
    <row r="61" spans="3:11" x14ac:dyDescent="0.25">
      <c r="C61" s="31" t="s">
        <v>52</v>
      </c>
      <c r="D61" s="26"/>
      <c r="E61" s="26">
        <f t="shared" ref="E61:K61" si="17">SUM(E55:E60)</f>
        <v>338924</v>
      </c>
      <c r="F61" s="26">
        <f t="shared" si="17"/>
        <v>406977</v>
      </c>
      <c r="G61" s="41">
        <f t="shared" ca="1" si="17"/>
        <v>438140.24137035914</v>
      </c>
      <c r="H61" s="41">
        <f t="shared" ca="1" si="17"/>
        <v>468084.2795668164</v>
      </c>
      <c r="I61" s="41">
        <f t="shared" ca="1" si="17"/>
        <v>505423.82398042968</v>
      </c>
      <c r="J61" s="41">
        <f t="shared" ca="1" si="17"/>
        <v>550144.39160057681</v>
      </c>
      <c r="K61" s="41">
        <f t="shared" ca="1" si="17"/>
        <v>600539.53415781737</v>
      </c>
    </row>
    <row r="62" spans="3:11" x14ac:dyDescent="0.25">
      <c r="C62" s="31"/>
      <c r="D62" s="26"/>
      <c r="E62" s="26"/>
      <c r="F62" s="26"/>
      <c r="G62" s="28"/>
      <c r="H62" s="28"/>
      <c r="I62" s="28"/>
      <c r="J62" s="28"/>
      <c r="K62" s="28"/>
    </row>
    <row r="63" spans="3:11" x14ac:dyDescent="0.25">
      <c r="C63" s="30" t="s">
        <v>53</v>
      </c>
      <c r="D63" s="7"/>
      <c r="E63" s="7">
        <v>111</v>
      </c>
      <c r="F63" s="7">
        <v>112</v>
      </c>
      <c r="G63" s="28">
        <f>F63</f>
        <v>112</v>
      </c>
      <c r="H63" s="28">
        <f t="shared" ref="H63:K64" si="18">G63</f>
        <v>112</v>
      </c>
      <c r="I63" s="28">
        <f t="shared" si="18"/>
        <v>112</v>
      </c>
      <c r="J63" s="28">
        <f t="shared" si="18"/>
        <v>112</v>
      </c>
      <c r="K63" s="28">
        <f t="shared" si="18"/>
        <v>112</v>
      </c>
    </row>
    <row r="64" spans="3:11" x14ac:dyDescent="0.25">
      <c r="C64" s="30" t="s">
        <v>54</v>
      </c>
      <c r="D64" s="7"/>
      <c r="E64" s="7">
        <v>-7837</v>
      </c>
      <c r="F64" s="7">
        <v>-7837</v>
      </c>
      <c r="G64" s="28">
        <f>F64</f>
        <v>-7837</v>
      </c>
      <c r="H64" s="28">
        <f t="shared" si="18"/>
        <v>-7837</v>
      </c>
      <c r="I64" s="28">
        <f t="shared" si="18"/>
        <v>-7837</v>
      </c>
      <c r="J64" s="28">
        <f t="shared" si="18"/>
        <v>-7837</v>
      </c>
      <c r="K64" s="28">
        <f t="shared" si="18"/>
        <v>-7837</v>
      </c>
    </row>
    <row r="65" spans="3:13" x14ac:dyDescent="0.25">
      <c r="C65" s="30" t="s">
        <v>55</v>
      </c>
      <c r="D65" s="7"/>
      <c r="E65" s="7">
        <v>120864</v>
      </c>
      <c r="F65" s="7">
        <v>140024</v>
      </c>
      <c r="G65" s="28">
        <f ca="1">F65++G35</f>
        <v>161884.10439578001</v>
      </c>
      <c r="H65" s="28">
        <f t="shared" ref="H65:K65" ca="1" si="19">G65++H35</f>
        <v>186201.56717679554</v>
      </c>
      <c r="I65" s="28">
        <f t="shared" ca="1" si="19"/>
        <v>213604.66308310899</v>
      </c>
      <c r="J65" s="28">
        <f t="shared" ca="1" si="19"/>
        <v>244484.92686773618</v>
      </c>
      <c r="K65" s="28">
        <f t="shared" ca="1" si="19"/>
        <v>279283.5749718892</v>
      </c>
    </row>
    <row r="66" spans="3:13" ht="15.75" customHeight="1" x14ac:dyDescent="0.25">
      <c r="C66" s="30" t="s">
        <v>56</v>
      </c>
      <c r="D66" s="25"/>
      <c r="E66" s="7">
        <v>172866</v>
      </c>
      <c r="F66" s="7">
        <v>250536</v>
      </c>
      <c r="G66" s="28">
        <f ca="1">G122</f>
        <v>345135.01572105382</v>
      </c>
      <c r="H66" s="28">
        <f ca="1">H122</f>
        <v>452447.49425629614</v>
      </c>
      <c r="I66" s="28">
        <f ca="1">I122</f>
        <v>585837.75843859697</v>
      </c>
      <c r="J66" s="28">
        <f ca="1">J122</f>
        <v>735211.01381881733</v>
      </c>
      <c r="K66" s="28">
        <f ca="1">K122</f>
        <v>902710.19974796928</v>
      </c>
    </row>
    <row r="67" spans="3:13" ht="15.75" customHeight="1" x14ac:dyDescent="0.25">
      <c r="C67" s="30" t="s">
        <v>57</v>
      </c>
      <c r="D67" s="7"/>
      <c r="E67" s="7">
        <v>-34</v>
      </c>
      <c r="F67" s="7">
        <v>28230</v>
      </c>
      <c r="G67" s="28">
        <f>F67</f>
        <v>28230</v>
      </c>
      <c r="H67" s="28">
        <f>G67</f>
        <v>28230</v>
      </c>
      <c r="I67" s="28">
        <f>H67</f>
        <v>28230</v>
      </c>
      <c r="J67" s="28">
        <f>I67</f>
        <v>28230</v>
      </c>
      <c r="K67" s="28">
        <f>J67</f>
        <v>28230</v>
      </c>
    </row>
    <row r="68" spans="3:13" x14ac:dyDescent="0.25">
      <c r="C68" s="31" t="s">
        <v>58</v>
      </c>
      <c r="D68" s="41"/>
      <c r="E68" s="41">
        <f t="shared" ref="E68:K68" si="20">SUM(E63:E67)</f>
        <v>285970</v>
      </c>
      <c r="F68" s="41">
        <f t="shared" si="20"/>
        <v>411065</v>
      </c>
      <c r="G68" s="41">
        <f t="shared" ca="1" si="20"/>
        <v>527524.12011683383</v>
      </c>
      <c r="H68" s="41">
        <f t="shared" ca="1" si="20"/>
        <v>659154.06143309164</v>
      </c>
      <c r="I68" s="41">
        <f t="shared" ca="1" si="20"/>
        <v>819947.42152170592</v>
      </c>
      <c r="J68" s="41">
        <f t="shared" ca="1" si="20"/>
        <v>1000200.9406865535</v>
      </c>
      <c r="K68" s="41">
        <f t="shared" ca="1" si="20"/>
        <v>1202498.7747198585</v>
      </c>
    </row>
    <row r="69" spans="3:13" x14ac:dyDescent="0.25">
      <c r="D69" s="28"/>
      <c r="E69" s="28"/>
      <c r="F69" s="28"/>
    </row>
    <row r="70" spans="3:13" x14ac:dyDescent="0.25">
      <c r="C70" s="20" t="s">
        <v>59</v>
      </c>
      <c r="D70" s="42"/>
      <c r="E70" s="42">
        <f t="shared" ref="E70:K70" si="21">ROUND(E53-E61-E68,3)</f>
        <v>0</v>
      </c>
      <c r="F70" s="42">
        <f t="shared" si="21"/>
        <v>0</v>
      </c>
      <c r="G70" s="42">
        <f t="shared" ca="1" si="21"/>
        <v>0</v>
      </c>
      <c r="H70" s="42">
        <f t="shared" ca="1" si="21"/>
        <v>0</v>
      </c>
      <c r="I70" s="42">
        <f t="shared" ca="1" si="21"/>
        <v>0</v>
      </c>
      <c r="J70" s="42">
        <f t="shared" ca="1" si="21"/>
        <v>0</v>
      </c>
      <c r="K70" s="42">
        <f t="shared" ca="1" si="21"/>
        <v>0</v>
      </c>
    </row>
    <row r="71" spans="3:13" x14ac:dyDescent="0.25">
      <c r="E71" s="28"/>
      <c r="F71" s="28"/>
      <c r="H71" s="28"/>
      <c r="I71" s="28"/>
      <c r="J71" s="28"/>
      <c r="K71" s="28"/>
    </row>
    <row r="72" spans="3:13" x14ac:dyDescent="0.25">
      <c r="C72" s="14" t="s">
        <v>60</v>
      </c>
      <c r="D72" s="36"/>
      <c r="E72" s="36"/>
      <c r="F72" s="36"/>
      <c r="G72" s="36"/>
      <c r="H72" s="36"/>
      <c r="I72" s="36"/>
      <c r="J72" s="36"/>
      <c r="K72" s="36"/>
    </row>
    <row r="73" spans="3:13" x14ac:dyDescent="0.25">
      <c r="C73" s="37" t="str">
        <f>C15</f>
        <v xml:space="preserve">Fiscal year  </v>
      </c>
      <c r="D73" s="38"/>
      <c r="E73" s="38"/>
      <c r="F73" s="38"/>
      <c r="G73" s="39">
        <f t="shared" ref="G73:K74" si="22">G15</f>
        <v>2026</v>
      </c>
      <c r="H73" s="39">
        <f t="shared" si="22"/>
        <v>2027</v>
      </c>
      <c r="I73" s="39">
        <f t="shared" si="22"/>
        <v>2028</v>
      </c>
      <c r="J73" s="39">
        <f t="shared" si="22"/>
        <v>2029</v>
      </c>
      <c r="K73" s="39">
        <f t="shared" si="22"/>
        <v>2030</v>
      </c>
    </row>
    <row r="74" spans="3:13" x14ac:dyDescent="0.25">
      <c r="C74" s="15" t="str">
        <f>C16</f>
        <v>Fiscal year end date</v>
      </c>
      <c r="D74" s="40"/>
      <c r="E74" s="40"/>
      <c r="F74" s="40"/>
      <c r="G74" s="40">
        <f t="shared" si="22"/>
        <v>46387</v>
      </c>
      <c r="H74" s="40">
        <f t="shared" si="22"/>
        <v>46752</v>
      </c>
      <c r="I74" s="40">
        <f t="shared" si="22"/>
        <v>47118</v>
      </c>
      <c r="J74" s="40">
        <f t="shared" si="22"/>
        <v>47483</v>
      </c>
      <c r="K74" s="40">
        <f t="shared" si="22"/>
        <v>47848</v>
      </c>
    </row>
    <row r="76" spans="3:13" x14ac:dyDescent="0.25">
      <c r="C76" t="s">
        <v>28</v>
      </c>
      <c r="D76" s="43"/>
      <c r="E76" s="43"/>
      <c r="F76" s="43"/>
      <c r="G76" s="28">
        <f ca="1">G31</f>
        <v>94599.015721053787</v>
      </c>
      <c r="H76" s="28">
        <f ca="1">H31</f>
        <v>107312.47853524234</v>
      </c>
      <c r="I76" s="28">
        <f ca="1">I31</f>
        <v>133390.26418230077</v>
      </c>
      <c r="J76" s="28">
        <f ca="1">J31</f>
        <v>149373.25538022036</v>
      </c>
      <c r="K76" s="28">
        <f ca="1">K31</f>
        <v>167499.18592915198</v>
      </c>
      <c r="M76" s="13"/>
    </row>
    <row r="77" spans="3:13" x14ac:dyDescent="0.25">
      <c r="C77" t="s">
        <v>61</v>
      </c>
      <c r="D77" s="43"/>
      <c r="E77" s="43"/>
      <c r="F77" s="43"/>
      <c r="G77" s="28">
        <f ca="1">G33</f>
        <v>86990.258017268876</v>
      </c>
      <c r="H77" s="28">
        <f ca="1">H33</f>
        <v>94008.777083406385</v>
      </c>
      <c r="I77" s="28">
        <f ca="1">I33</f>
        <v>107411.24738941563</v>
      </c>
      <c r="J77" s="28">
        <f ca="1">J33</f>
        <v>125444.2652907657</v>
      </c>
      <c r="K77" s="28">
        <f ca="1">K33</f>
        <v>146324.26271365149</v>
      </c>
    </row>
    <row r="78" spans="3:13" x14ac:dyDescent="0.25">
      <c r="C78" t="s">
        <v>31</v>
      </c>
      <c r="D78" s="43"/>
      <c r="E78" s="43"/>
      <c r="F78" s="43"/>
      <c r="G78" s="28">
        <f ca="1">G35</f>
        <v>21860.104395779999</v>
      </c>
      <c r="H78" s="28">
        <f ca="1">H35</f>
        <v>24317.462781015511</v>
      </c>
      <c r="I78" s="28">
        <f ca="1">I35</f>
        <v>27403.095906313454</v>
      </c>
      <c r="J78" s="28">
        <f ca="1">J35</f>
        <v>30880.263784627205</v>
      </c>
      <c r="K78" s="28">
        <f ca="1">K35</f>
        <v>34798.648104153035</v>
      </c>
    </row>
    <row r="79" spans="3:13" x14ac:dyDescent="0.25">
      <c r="C79" t="s">
        <v>62</v>
      </c>
      <c r="D79" s="28"/>
      <c r="E79" s="28"/>
      <c r="F79" s="28"/>
      <c r="G79" s="28">
        <f ca="1">-1*(SUM(G49:G50)-SUM(F49:F50))</f>
        <v>-13018.46971032281</v>
      </c>
      <c r="H79" s="28">
        <f ca="1">-1*(SUM(H49:H50)-SUM(G49:G50))</f>
        <v>-12721.681907819977</v>
      </c>
      <c r="I79" s="28">
        <f ca="1">-1*(SUM(I49:I50)-SUM(H49:H50))</f>
        <v>-15892.409790864389</v>
      </c>
      <c r="J79" s="28">
        <f ca="1">-1*(SUM(J49:J50)-SUM(I49:I50))</f>
        <v>-18739.888702564349</v>
      </c>
      <c r="K79" s="28">
        <f ca="1">-1*(SUM(K49:K50)-SUM(J49:J50))</f>
        <v>-21117.785684077273</v>
      </c>
    </row>
    <row r="80" spans="3:13" x14ac:dyDescent="0.25">
      <c r="C80" t="s">
        <v>63</v>
      </c>
      <c r="D80" s="28"/>
      <c r="E80" s="28"/>
      <c r="F80" s="28"/>
      <c r="G80" s="28">
        <f ca="1">SUM(G55:G57)-SUM(F55:F57)</f>
        <v>26739.557100459089</v>
      </c>
      <c r="H80" s="28">
        <f ca="1">SUM(H55:H57)-SUM(G55:G57)</f>
        <v>25401.579600232915</v>
      </c>
      <c r="I80" s="28">
        <f ca="1">SUM(I55:I57)-SUM(H55:H57)</f>
        <v>31635.711875787936</v>
      </c>
      <c r="J80" s="28">
        <f ca="1">SUM(J55:J57)-SUM(I55:I57)</f>
        <v>38292.978053130151</v>
      </c>
      <c r="K80" s="28">
        <f ca="1">SUM(K55:K57)-SUM(J55:J57)</f>
        <v>43151.958721100527</v>
      </c>
    </row>
    <row r="81" spans="3:13" x14ac:dyDescent="0.25">
      <c r="C81" t="s">
        <v>44</v>
      </c>
      <c r="G81" s="28">
        <f ca="1">-(G114)</f>
        <v>-55300.607458600018</v>
      </c>
      <c r="H81" s="28">
        <f ca="1">-(H114)</f>
        <v>-59077.533868861123</v>
      </c>
      <c r="I81" s="28">
        <f ca="1">-(I114)</f>
        <v>-70344.248688748514</v>
      </c>
      <c r="J81" s="28">
        <f ca="1">-(J114)</f>
        <v>-79270.202267164364</v>
      </c>
      <c r="K81" s="28">
        <f ca="1">-(K114)</f>
        <v>-89328.766524763894</v>
      </c>
    </row>
    <row r="82" spans="3:13" x14ac:dyDescent="0.25">
      <c r="C82" t="s">
        <v>51</v>
      </c>
      <c r="G82" s="28">
        <f ca="1">G60-F60</f>
        <v>4423.6842699000044</v>
      </c>
      <c r="H82" s="28">
        <f ca="1">H60-G60</f>
        <v>4542.4585962243727</v>
      </c>
      <c r="I82" s="28">
        <f ca="1">I60-H60</f>
        <v>5703.8325378253721</v>
      </c>
      <c r="J82" s="28">
        <f ca="1">J60-I60</f>
        <v>6427.5895670170212</v>
      </c>
      <c r="K82" s="28">
        <f ca="1">K60-J60</f>
        <v>7243.1838361399787</v>
      </c>
      <c r="M82" s="13"/>
    </row>
    <row r="83" spans="3:13" x14ac:dyDescent="0.25">
      <c r="C83" s="13" t="s">
        <v>64</v>
      </c>
      <c r="G83" s="41">
        <f ca="1">SUM(G76:G82)</f>
        <v>166293.54233553895</v>
      </c>
      <c r="H83" s="41">
        <f ca="1">SUM(H76:H82)</f>
        <v>183783.54081944044</v>
      </c>
      <c r="I83" s="41">
        <f ca="1">SUM(I76:I82)</f>
        <v>219307.49341203025</v>
      </c>
      <c r="J83" s="41">
        <f ca="1">SUM(J76:J82)</f>
        <v>252408.26110603168</v>
      </c>
      <c r="K83" s="41">
        <f ca="1">SUM(K76:K82)</f>
        <v>288570.68709535588</v>
      </c>
    </row>
    <row r="84" spans="3:13" x14ac:dyDescent="0.25">
      <c r="G84" s="28"/>
      <c r="H84" s="28"/>
      <c r="I84" s="28"/>
      <c r="J84" s="28"/>
      <c r="K84" s="28"/>
    </row>
    <row r="85" spans="3:13" x14ac:dyDescent="0.25">
      <c r="C85" t="s">
        <v>65</v>
      </c>
      <c r="G85" s="28">
        <f>-(G100)</f>
        <v>-178185.02</v>
      </c>
      <c r="H85" s="28">
        <f>-(H100)</f>
        <v>-179424.13</v>
      </c>
      <c r="I85" s="28">
        <f>-(I100)</f>
        <v>-195389.49</v>
      </c>
      <c r="J85" s="28">
        <f ca="1">-(J100)</f>
        <v>-220182.38423030399</v>
      </c>
      <c r="K85" s="28">
        <f ca="1">-(K100)</f>
        <v>-248121.23889233355</v>
      </c>
    </row>
    <row r="86" spans="3:13" x14ac:dyDescent="0.25">
      <c r="C86" s="13" t="s">
        <v>66</v>
      </c>
      <c r="G86" s="41">
        <f>IFERROR(G85,"NA")</f>
        <v>-178185.02</v>
      </c>
      <c r="H86" s="41">
        <f>IFERROR(H85,"NA")</f>
        <v>-179424.13</v>
      </c>
      <c r="I86" s="41">
        <f>IFERROR(I85,"NA")</f>
        <v>-195389.49</v>
      </c>
      <c r="J86" s="41">
        <f ca="1">IFERROR(J85,"NA")</f>
        <v>-220182.38423030399</v>
      </c>
      <c r="K86" s="41">
        <f ca="1">IFERROR(K85,"NA")</f>
        <v>-248121.23889233355</v>
      </c>
    </row>
    <row r="87" spans="3:13" x14ac:dyDescent="0.25">
      <c r="G87" s="28"/>
      <c r="H87" s="28"/>
      <c r="I87" s="28"/>
      <c r="J87" s="28"/>
      <c r="K87" s="28"/>
    </row>
    <row r="88" spans="3:13" x14ac:dyDescent="0.25">
      <c r="C88" t="s">
        <v>67</v>
      </c>
      <c r="G88" s="28">
        <f>G59-F59</f>
        <v>0</v>
      </c>
      <c r="H88" s="28">
        <f>H59-G59</f>
        <v>0</v>
      </c>
      <c r="I88" s="28">
        <f>I59-H59</f>
        <v>0</v>
      </c>
      <c r="J88" s="28">
        <f>J59-I59</f>
        <v>0</v>
      </c>
      <c r="K88" s="28">
        <f>K59-J59</f>
        <v>0</v>
      </c>
    </row>
    <row r="89" spans="3:13" x14ac:dyDescent="0.25">
      <c r="C89" t="s">
        <v>68</v>
      </c>
      <c r="G89" s="28">
        <f>G121</f>
        <v>0</v>
      </c>
      <c r="H89" s="28">
        <f>H121</f>
        <v>0</v>
      </c>
      <c r="I89" s="28">
        <f>I121</f>
        <v>0</v>
      </c>
      <c r="J89" s="28">
        <f>J121</f>
        <v>0</v>
      </c>
      <c r="K89" s="28">
        <f>K121</f>
        <v>0</v>
      </c>
    </row>
    <row r="90" spans="3:13" x14ac:dyDescent="0.25">
      <c r="C90" t="s">
        <v>69</v>
      </c>
      <c r="G90" s="28">
        <f>G120</f>
        <v>0</v>
      </c>
      <c r="H90" s="28">
        <f>H120</f>
        <v>0</v>
      </c>
      <c r="I90" s="28">
        <f>I120</f>
        <v>0</v>
      </c>
      <c r="J90" s="28">
        <f>J120</f>
        <v>0</v>
      </c>
      <c r="K90" s="28">
        <f>K120</f>
        <v>0</v>
      </c>
    </row>
    <row r="91" spans="3:13" x14ac:dyDescent="0.25">
      <c r="C91" s="13" t="s">
        <v>70</v>
      </c>
      <c r="G91" s="41">
        <f>SUM(G88:G90)</f>
        <v>0</v>
      </c>
      <c r="H91" s="41">
        <f>SUM(H88:H90)</f>
        <v>0</v>
      </c>
      <c r="I91" s="41">
        <f>SUM(I88:I90)</f>
        <v>0</v>
      </c>
      <c r="J91" s="41">
        <f>SUM(J88:J90)</f>
        <v>0</v>
      </c>
      <c r="K91" s="41">
        <f>SUM(K88:K90)</f>
        <v>0</v>
      </c>
    </row>
    <row r="92" spans="3:13" x14ac:dyDescent="0.25">
      <c r="G92" s="28"/>
      <c r="H92" s="28"/>
      <c r="I92" s="28"/>
      <c r="J92" s="28"/>
      <c r="K92" s="28"/>
    </row>
    <row r="93" spans="3:13" x14ac:dyDescent="0.25">
      <c r="C93" s="13" t="s">
        <v>71</v>
      </c>
      <c r="G93" s="41">
        <f ca="1">G83+G86+G91</f>
        <v>-11891.477664461039</v>
      </c>
      <c r="H93" s="41">
        <f ca="1">H83+H86+H91</f>
        <v>4359.4108194404398</v>
      </c>
      <c r="I93" s="41">
        <f ca="1">I83+I86+I91</f>
        <v>23918.003412030259</v>
      </c>
      <c r="J93" s="41">
        <f ca="1">J83+J86+J91</f>
        <v>32225.876875727699</v>
      </c>
      <c r="K93" s="41">
        <f ca="1">K83+K86+K91</f>
        <v>40449.44820302233</v>
      </c>
    </row>
    <row r="95" spans="3:13" x14ac:dyDescent="0.25">
      <c r="C95" s="14" t="s">
        <v>72</v>
      </c>
      <c r="D95" s="15"/>
      <c r="E95" s="15"/>
      <c r="F95" s="15"/>
      <c r="G95" s="15"/>
      <c r="H95" s="15"/>
      <c r="I95" s="15"/>
      <c r="J95" s="15"/>
      <c r="K95" s="15"/>
    </row>
    <row r="96" spans="3:13" x14ac:dyDescent="0.25">
      <c r="C96" s="37" t="str">
        <f t="shared" ref="C96:K97" si="23">C15</f>
        <v xml:space="preserve">Fiscal year  </v>
      </c>
      <c r="D96" s="38">
        <f t="shared" si="23"/>
        <v>2023</v>
      </c>
      <c r="E96" s="38">
        <f t="shared" si="23"/>
        <v>2024</v>
      </c>
      <c r="F96" s="38">
        <f t="shared" si="23"/>
        <v>2025</v>
      </c>
      <c r="G96" s="39">
        <f t="shared" si="23"/>
        <v>2026</v>
      </c>
      <c r="H96" s="39">
        <f t="shared" si="23"/>
        <v>2027</v>
      </c>
      <c r="I96" s="39">
        <f t="shared" si="23"/>
        <v>2028</v>
      </c>
      <c r="J96" s="39">
        <f t="shared" si="23"/>
        <v>2029</v>
      </c>
      <c r="K96" s="39">
        <f t="shared" si="23"/>
        <v>2030</v>
      </c>
    </row>
    <row r="97" spans="3:17" x14ac:dyDescent="0.25">
      <c r="C97" s="15" t="str">
        <f t="shared" si="23"/>
        <v>Fiscal year end date</v>
      </c>
      <c r="D97" s="40">
        <f t="shared" si="23"/>
        <v>45291</v>
      </c>
      <c r="E97" s="40">
        <f t="shared" si="23"/>
        <v>45657</v>
      </c>
      <c r="F97" s="40">
        <f t="shared" si="23"/>
        <v>46022</v>
      </c>
      <c r="G97" s="40">
        <f t="shared" si="23"/>
        <v>46387</v>
      </c>
      <c r="H97" s="40">
        <f t="shared" si="23"/>
        <v>46752</v>
      </c>
      <c r="I97" s="40">
        <f t="shared" si="23"/>
        <v>47118</v>
      </c>
      <c r="J97" s="40">
        <f t="shared" si="23"/>
        <v>47483</v>
      </c>
      <c r="K97" s="40">
        <f t="shared" si="23"/>
        <v>47848</v>
      </c>
    </row>
    <row r="98" spans="3:17" x14ac:dyDescent="0.25">
      <c r="C98" s="13"/>
      <c r="G98" s="44" t="s">
        <v>73</v>
      </c>
      <c r="H98" s="44"/>
      <c r="I98" s="44"/>
      <c r="J98" s="44"/>
      <c r="K98" s="44"/>
    </row>
    <row r="99" spans="3:17" x14ac:dyDescent="0.25">
      <c r="C99" s="30" t="s">
        <v>74</v>
      </c>
      <c r="G99" s="28">
        <f>F102</f>
        <v>357025</v>
      </c>
      <c r="H99" s="28">
        <f>G102</f>
        <v>475008.41202977113</v>
      </c>
      <c r="I99" s="28">
        <f>H102</f>
        <v>590223.80563593714</v>
      </c>
      <c r="J99" s="28">
        <f>I102</f>
        <v>711783.40417917748</v>
      </c>
      <c r="K99" s="28">
        <f ca="1">J102</f>
        <v>844364.00387312414</v>
      </c>
    </row>
    <row r="100" spans="3:17" x14ac:dyDescent="0.25">
      <c r="C100" s="45" t="s">
        <v>75</v>
      </c>
      <c r="D100" s="7">
        <v>52729</v>
      </c>
      <c r="E100" s="7">
        <v>82999</v>
      </c>
      <c r="F100" s="7">
        <v>131819</v>
      </c>
      <c r="G100" s="7">
        <v>178185.02</v>
      </c>
      <c r="H100" s="7">
        <v>179424.13</v>
      </c>
      <c r="I100" s="7">
        <v>195389.49</v>
      </c>
      <c r="J100" s="28">
        <f ca="1">I100*(1+J39)</f>
        <v>220182.38423030399</v>
      </c>
      <c r="K100" s="28">
        <f ca="1">J100*(1+K39)</f>
        <v>248121.23889233355</v>
      </c>
    </row>
    <row r="101" spans="3:17" x14ac:dyDescent="0.25">
      <c r="C101" s="46" t="s">
        <v>76</v>
      </c>
      <c r="D101" s="47">
        <v>-30200</v>
      </c>
      <c r="E101" s="47">
        <v>-32100</v>
      </c>
      <c r="F101" s="47">
        <v>-41900</v>
      </c>
      <c r="G101" s="48">
        <f>-(G104*G100)</f>
        <v>-60201.60797022887</v>
      </c>
      <c r="H101" s="48">
        <f>-(H104*H100)</f>
        <v>-64208.736393833977</v>
      </c>
      <c r="I101" s="48">
        <f>-(I104*I100)</f>
        <v>-73829.891456759651</v>
      </c>
      <c r="J101" s="48">
        <f ca="1">-(J104*J100)</f>
        <v>-87601.784536357387</v>
      </c>
      <c r="K101" s="48">
        <f ca="1">-(K104*K100)</f>
        <v>-103679.96471330863</v>
      </c>
    </row>
    <row r="102" spans="3:17" x14ac:dyDescent="0.25">
      <c r="C102" s="49" t="s">
        <v>77</v>
      </c>
      <c r="D102" s="41"/>
      <c r="E102" s="41">
        <f>E51</f>
        <v>252665</v>
      </c>
      <c r="F102" s="41">
        <f>F51</f>
        <v>357025</v>
      </c>
      <c r="G102" s="41">
        <f>SUM(G99:G101)</f>
        <v>475008.41202977113</v>
      </c>
      <c r="H102" s="41">
        <f>SUM(H99:H101)</f>
        <v>590223.80563593714</v>
      </c>
      <c r="I102" s="41">
        <f>SUM(I99:I101)</f>
        <v>711783.40417917748</v>
      </c>
      <c r="J102" s="41">
        <f ca="1">SUM(J99:J101)</f>
        <v>844364.00387312414</v>
      </c>
      <c r="K102" s="41">
        <f ca="1">SUM(K99:K101)</f>
        <v>988805.27805214899</v>
      </c>
    </row>
    <row r="103" spans="3:17" x14ac:dyDescent="0.25">
      <c r="C103" s="30"/>
      <c r="M103" s="33" t="s">
        <v>78</v>
      </c>
    </row>
    <row r="104" spans="3:17" x14ac:dyDescent="0.25">
      <c r="C104" s="30" t="s">
        <v>79</v>
      </c>
      <c r="D104" s="50">
        <f>-(D101/D100)</f>
        <v>0.57273985852187603</v>
      </c>
      <c r="E104" s="50">
        <f>-(E101/E100)</f>
        <v>0.38675164761021219</v>
      </c>
      <c r="F104" s="50">
        <f>-(F101/F100)</f>
        <v>0.31786009604078319</v>
      </c>
      <c r="G104" s="34">
        <f>F104+$M$104</f>
        <v>0.33786009604078321</v>
      </c>
      <c r="H104" s="34">
        <f>G104+$M$104</f>
        <v>0.35786009604078323</v>
      </c>
      <c r="I104" s="34">
        <f>H104+$M$104</f>
        <v>0.37786009604078324</v>
      </c>
      <c r="J104" s="34">
        <f>I104+$M$104</f>
        <v>0.39786009604078326</v>
      </c>
      <c r="K104" s="34">
        <f>J104+$M$104</f>
        <v>0.41786009604078328</v>
      </c>
      <c r="M104" s="51">
        <v>0.02</v>
      </c>
      <c r="O104" s="52"/>
      <c r="P104" s="52"/>
      <c r="Q104" s="52"/>
    </row>
    <row r="105" spans="3:17" x14ac:dyDescent="0.25">
      <c r="C105" s="30"/>
      <c r="D105" s="50"/>
      <c r="E105" s="50"/>
      <c r="F105" s="50"/>
      <c r="G105" s="34"/>
      <c r="H105" s="34"/>
      <c r="I105" s="34"/>
      <c r="J105" s="34"/>
      <c r="K105" s="34"/>
      <c r="O105" s="52"/>
      <c r="P105" s="52"/>
      <c r="Q105" s="52"/>
    </row>
    <row r="106" spans="3:17" x14ac:dyDescent="0.25">
      <c r="C106" s="53" t="s">
        <v>80</v>
      </c>
      <c r="D106" s="54"/>
      <c r="E106" s="54"/>
      <c r="F106" s="54"/>
      <c r="G106" s="55"/>
      <c r="H106" s="55"/>
      <c r="I106" s="55"/>
      <c r="J106" s="55"/>
      <c r="K106" s="55"/>
      <c r="O106" s="52"/>
      <c r="P106" s="52"/>
      <c r="Q106" s="52"/>
    </row>
    <row r="107" spans="3:17" x14ac:dyDescent="0.25">
      <c r="C107" s="30" t="s">
        <v>81</v>
      </c>
      <c r="D107" s="28">
        <f>D109+D101</f>
        <v>18463</v>
      </c>
      <c r="E107" s="28">
        <f>E109+E101</f>
        <v>20695</v>
      </c>
      <c r="F107" s="28">
        <f>F109+F101</f>
        <v>23856</v>
      </c>
      <c r="G107" s="25">
        <f ca="1">G108*G18</f>
        <v>26788.650047039999</v>
      </c>
      <c r="H107" s="25">
        <f ca="1">H108*H18</f>
        <v>29800.040689572405</v>
      </c>
      <c r="I107" s="25">
        <f ca="1">I108*I18</f>
        <v>33581.35593265597</v>
      </c>
      <c r="J107" s="25">
        <f ca="1">J108*J18</f>
        <v>37842.480754408316</v>
      </c>
      <c r="K107" s="25">
        <f ca="1">K108*K18</f>
        <v>42644.298000342875</v>
      </c>
      <c r="O107" s="52"/>
      <c r="P107" s="52"/>
      <c r="Q107" s="52"/>
    </row>
    <row r="108" spans="3:17" x14ac:dyDescent="0.25">
      <c r="C108" s="29" t="s">
        <v>82</v>
      </c>
      <c r="D108" s="56">
        <f>D107/D18</f>
        <v>3.2121575893594996E-2</v>
      </c>
      <c r="E108" s="56">
        <f>E107/E18</f>
        <v>3.2439388738147751E-2</v>
      </c>
      <c r="F108" s="56">
        <f>F107/F18</f>
        <v>3.3275493636703471E-2</v>
      </c>
      <c r="G108" s="34">
        <f>F108</f>
        <v>3.3275493636703471E-2</v>
      </c>
      <c r="H108" s="34">
        <f>G108</f>
        <v>3.3275493636703471E-2</v>
      </c>
      <c r="I108" s="34">
        <f>H108</f>
        <v>3.3275493636703471E-2</v>
      </c>
      <c r="J108" s="34">
        <f>I108</f>
        <v>3.3275493636703471E-2</v>
      </c>
      <c r="K108" s="34">
        <f>J108</f>
        <v>3.3275493636703471E-2</v>
      </c>
    </row>
    <row r="109" spans="3:17" x14ac:dyDescent="0.25">
      <c r="C109" s="31" t="s">
        <v>83</v>
      </c>
      <c r="D109" s="41">
        <f>D33</f>
        <v>48663</v>
      </c>
      <c r="E109" s="41">
        <f>E33</f>
        <v>52795</v>
      </c>
      <c r="F109" s="41">
        <f>F33</f>
        <v>65756</v>
      </c>
      <c r="G109" s="26">
        <f ca="1">-G101+G107</f>
        <v>86990.258017268876</v>
      </c>
      <c r="H109" s="26">
        <f ca="1">-H101+H107</f>
        <v>94008.777083406385</v>
      </c>
      <c r="I109" s="26">
        <f ca="1">-I101+I107</f>
        <v>107411.24738941563</v>
      </c>
      <c r="J109" s="26">
        <f ca="1">-J101+J107</f>
        <v>125444.2652907657</v>
      </c>
      <c r="K109" s="26">
        <f ca="1">-K101+K107</f>
        <v>146324.26271365149</v>
      </c>
    </row>
    <row r="110" spans="3:17" x14ac:dyDescent="0.25">
      <c r="C110" s="30"/>
      <c r="D110" s="28"/>
      <c r="E110" s="28"/>
      <c r="F110" s="28"/>
      <c r="H110" s="28"/>
      <c r="I110" s="28"/>
      <c r="J110" s="28"/>
      <c r="K110" s="28"/>
    </row>
    <row r="111" spans="3:17" x14ac:dyDescent="0.25">
      <c r="C111" s="57" t="s">
        <v>84</v>
      </c>
      <c r="D111" s="15"/>
      <c r="E111" s="15"/>
      <c r="F111" s="15"/>
      <c r="H111" s="28"/>
      <c r="I111" s="28"/>
      <c r="J111" s="28"/>
      <c r="K111" s="28"/>
    </row>
    <row r="112" spans="3:17" x14ac:dyDescent="0.25">
      <c r="C112" s="30" t="s">
        <v>74</v>
      </c>
      <c r="D112" s="28"/>
      <c r="G112" s="58">
        <f>F115</f>
        <v>231934</v>
      </c>
      <c r="H112" s="58">
        <f ca="1">G115</f>
        <v>260445.95741156003</v>
      </c>
      <c r="I112" s="58">
        <f ca="1">H115</f>
        <v>289723.45059084875</v>
      </c>
      <c r="J112" s="58">
        <f ca="1">I115</f>
        <v>326486.34334694128</v>
      </c>
      <c r="K112" s="58">
        <f ca="1">J115</f>
        <v>367914.0648596973</v>
      </c>
    </row>
    <row r="113" spans="3:19" x14ac:dyDescent="0.25">
      <c r="C113" s="29" t="s">
        <v>85</v>
      </c>
      <c r="G113" s="28">
        <f ca="1">-(G107)</f>
        <v>-26788.650047039999</v>
      </c>
      <c r="H113" s="28">
        <f ca="1">-(H107)</f>
        <v>-29800.040689572405</v>
      </c>
      <c r="I113" s="28">
        <f ca="1">-(I107)</f>
        <v>-33581.35593265597</v>
      </c>
      <c r="J113" s="28">
        <f ca="1">-(J107)</f>
        <v>-37842.480754408316</v>
      </c>
      <c r="K113" s="28">
        <f ca="1">-(K107)</f>
        <v>-42644.298000342875</v>
      </c>
    </row>
    <row r="114" spans="3:19" ht="15" customHeight="1" x14ac:dyDescent="0.25">
      <c r="C114" s="59" t="s">
        <v>86</v>
      </c>
      <c r="D114" s="60"/>
      <c r="E114" s="60"/>
      <c r="F114" s="60"/>
      <c r="G114" s="61">
        <f ca="1">G115-G113-G112</f>
        <v>55300.607458600018</v>
      </c>
      <c r="H114" s="61">
        <f ca="1">H115-H113-H112</f>
        <v>59077.533868861123</v>
      </c>
      <c r="I114" s="61">
        <f ca="1">I115-I113-I112</f>
        <v>70344.248688748514</v>
      </c>
      <c r="J114" s="61">
        <f ca="1">J115-J113-J112</f>
        <v>79270.202267164364</v>
      </c>
      <c r="K114" s="61">
        <f ca="1">K115-K113-K112</f>
        <v>89328.766524763894</v>
      </c>
    </row>
    <row r="115" spans="3:19" x14ac:dyDescent="0.25">
      <c r="C115" s="49" t="s">
        <v>77</v>
      </c>
      <c r="E115" s="41">
        <f>E52</f>
        <v>181362</v>
      </c>
      <c r="F115" s="41">
        <f>F52</f>
        <v>231934</v>
      </c>
      <c r="G115" s="41">
        <f ca="1">G52</f>
        <v>260445.95741156003</v>
      </c>
      <c r="H115" s="41">
        <f ca="1">H52</f>
        <v>289723.45059084875</v>
      </c>
      <c r="I115" s="41">
        <f ca="1">I52</f>
        <v>326486.34334694128</v>
      </c>
      <c r="J115" s="41">
        <f ca="1">J52</f>
        <v>367914.0648596973</v>
      </c>
      <c r="K115" s="41">
        <f ca="1">K52</f>
        <v>414598.53338411835</v>
      </c>
    </row>
    <row r="116" spans="3:19" x14ac:dyDescent="0.25">
      <c r="C116" s="29"/>
      <c r="E116" s="28"/>
      <c r="F116" s="28"/>
      <c r="H116" s="28"/>
      <c r="I116" s="28"/>
      <c r="J116" s="28"/>
      <c r="K116" s="28"/>
    </row>
    <row r="117" spans="3:19" x14ac:dyDescent="0.25">
      <c r="C117" s="62" t="s">
        <v>87</v>
      </c>
      <c r="D117" s="57"/>
      <c r="E117" s="57"/>
      <c r="F117" s="57"/>
      <c r="G117" s="15"/>
      <c r="H117" s="15"/>
      <c r="I117" s="15"/>
      <c r="J117" s="15"/>
      <c r="K117" s="15"/>
    </row>
    <row r="118" spans="3:19" x14ac:dyDescent="0.25">
      <c r="C118" s="30" t="s">
        <v>74</v>
      </c>
      <c r="G118" s="28">
        <f>F122</f>
        <v>250536</v>
      </c>
      <c r="H118" s="28">
        <f ca="1">G122</f>
        <v>345135.01572105382</v>
      </c>
      <c r="I118" s="28">
        <f ca="1">H122</f>
        <v>452447.49425629614</v>
      </c>
      <c r="J118" s="28">
        <f ca="1">I122</f>
        <v>585837.75843859697</v>
      </c>
      <c r="K118" s="28">
        <f ca="1">J122</f>
        <v>735211.01381881733</v>
      </c>
    </row>
    <row r="119" spans="3:19" x14ac:dyDescent="0.25">
      <c r="C119" s="29" t="s">
        <v>88</v>
      </c>
      <c r="D119" s="25">
        <f t="shared" ref="D119:K119" si="24">D31</f>
        <v>30425</v>
      </c>
      <c r="E119" s="25">
        <f t="shared" si="24"/>
        <v>59248</v>
      </c>
      <c r="F119" s="25">
        <f t="shared" si="24"/>
        <v>77670</v>
      </c>
      <c r="G119" s="28">
        <f t="shared" ca="1" si="24"/>
        <v>94599.015721053787</v>
      </c>
      <c r="H119" s="28">
        <f t="shared" ca="1" si="24"/>
        <v>107312.47853524234</v>
      </c>
      <c r="I119" s="28">
        <f t="shared" ca="1" si="24"/>
        <v>133390.26418230077</v>
      </c>
      <c r="J119" s="28">
        <f t="shared" ca="1" si="24"/>
        <v>149373.25538022036</v>
      </c>
      <c r="K119" s="28">
        <f t="shared" ca="1" si="24"/>
        <v>167499.18592915198</v>
      </c>
    </row>
    <row r="120" spans="3:19" x14ac:dyDescent="0.25">
      <c r="C120" s="29" t="s">
        <v>89</v>
      </c>
      <c r="D120" s="7">
        <v>0</v>
      </c>
      <c r="E120" s="7">
        <v>0</v>
      </c>
      <c r="F120" s="7">
        <v>0</v>
      </c>
      <c r="G120" s="28">
        <f>F120</f>
        <v>0</v>
      </c>
      <c r="H120" s="28">
        <f>G120</f>
        <v>0</v>
      </c>
      <c r="I120" s="28">
        <f t="shared" ref="I120:K121" si="25">H120</f>
        <v>0</v>
      </c>
      <c r="J120" s="28">
        <f t="shared" si="25"/>
        <v>0</v>
      </c>
      <c r="K120" s="28">
        <f t="shared" si="25"/>
        <v>0</v>
      </c>
    </row>
    <row r="121" spans="3:19" x14ac:dyDescent="0.25">
      <c r="C121" s="59" t="s">
        <v>90</v>
      </c>
      <c r="D121" s="47">
        <v>0</v>
      </c>
      <c r="E121" s="47">
        <v>0</v>
      </c>
      <c r="F121" s="47">
        <v>0</v>
      </c>
      <c r="G121" s="48">
        <f>F121</f>
        <v>0</v>
      </c>
      <c r="H121" s="48">
        <f>G121</f>
        <v>0</v>
      </c>
      <c r="I121" s="48">
        <f t="shared" si="25"/>
        <v>0</v>
      </c>
      <c r="J121" s="48">
        <f t="shared" si="25"/>
        <v>0</v>
      </c>
      <c r="K121" s="48">
        <f t="shared" si="25"/>
        <v>0</v>
      </c>
    </row>
    <row r="122" spans="3:19" x14ac:dyDescent="0.25">
      <c r="C122" s="49" t="s">
        <v>77</v>
      </c>
      <c r="D122" s="26">
        <f>D66</f>
        <v>0</v>
      </c>
      <c r="E122" s="26">
        <f>E66</f>
        <v>172866</v>
      </c>
      <c r="F122" s="26">
        <f>F66</f>
        <v>250536</v>
      </c>
      <c r="G122" s="41">
        <f ca="1">SUM(G118:G121)</f>
        <v>345135.01572105382</v>
      </c>
      <c r="H122" s="41">
        <f ca="1">SUM(H118:H121)</f>
        <v>452447.49425629614</v>
      </c>
      <c r="I122" s="41">
        <f ca="1">SUM(I118:I121)</f>
        <v>585837.75843859697</v>
      </c>
      <c r="J122" s="41">
        <f ca="1">SUM(J118:J121)</f>
        <v>735211.01381881733</v>
      </c>
      <c r="K122" s="41">
        <f ca="1">SUM(K118:K121)</f>
        <v>902710.19974796928</v>
      </c>
    </row>
    <row r="123" spans="3:19" x14ac:dyDescent="0.25">
      <c r="E123" s="43"/>
      <c r="F123" s="43"/>
    </row>
    <row r="124" spans="3:19" x14ac:dyDescent="0.25">
      <c r="D124" s="28"/>
      <c r="E124" s="28"/>
      <c r="F124" s="63"/>
      <c r="G124" s="64"/>
      <c r="H124" s="64"/>
      <c r="I124" s="64"/>
      <c r="J124" s="64"/>
      <c r="K124" s="64"/>
      <c r="S124" s="43"/>
    </row>
    <row r="125" spans="3:19" x14ac:dyDescent="0.25">
      <c r="C125" s="14" t="s">
        <v>91</v>
      </c>
      <c r="D125" s="54"/>
      <c r="E125" s="54"/>
      <c r="F125" s="54"/>
      <c r="G125" s="65"/>
      <c r="H125" s="65"/>
      <c r="I125" s="65"/>
      <c r="J125" s="65"/>
      <c r="K125" s="65"/>
      <c r="R125" s="66"/>
    </row>
    <row r="126" spans="3:19" x14ac:dyDescent="0.25">
      <c r="C126" s="37" t="str">
        <f t="shared" ref="C126:K127" si="26">C15</f>
        <v xml:space="preserve">Fiscal year  </v>
      </c>
      <c r="D126" s="38">
        <f t="shared" si="26"/>
        <v>2023</v>
      </c>
      <c r="E126" s="38">
        <f t="shared" si="26"/>
        <v>2024</v>
      </c>
      <c r="F126" s="38">
        <f t="shared" si="26"/>
        <v>2025</v>
      </c>
      <c r="G126" s="39">
        <f t="shared" si="26"/>
        <v>2026</v>
      </c>
      <c r="H126" s="39">
        <f t="shared" si="26"/>
        <v>2027</v>
      </c>
      <c r="I126" s="39">
        <f t="shared" si="26"/>
        <v>2028</v>
      </c>
      <c r="J126" s="39">
        <f t="shared" si="26"/>
        <v>2029</v>
      </c>
      <c r="K126" s="39">
        <f t="shared" si="26"/>
        <v>2030</v>
      </c>
      <c r="R126" s="66"/>
      <c r="S126" s="43"/>
    </row>
    <row r="127" spans="3:19" x14ac:dyDescent="0.25">
      <c r="C127" s="15" t="str">
        <f t="shared" si="26"/>
        <v>Fiscal year end date</v>
      </c>
      <c r="D127" s="40">
        <f t="shared" si="26"/>
        <v>45291</v>
      </c>
      <c r="E127" s="40">
        <f t="shared" si="26"/>
        <v>45657</v>
      </c>
      <c r="F127" s="40">
        <f t="shared" si="26"/>
        <v>46022</v>
      </c>
      <c r="G127" s="40">
        <f t="shared" si="26"/>
        <v>46387</v>
      </c>
      <c r="H127" s="40">
        <f t="shared" si="26"/>
        <v>46752</v>
      </c>
      <c r="I127" s="40">
        <f t="shared" si="26"/>
        <v>47118</v>
      </c>
      <c r="J127" s="40">
        <f t="shared" si="26"/>
        <v>47483</v>
      </c>
      <c r="K127" s="40">
        <f t="shared" si="26"/>
        <v>47848</v>
      </c>
      <c r="R127" s="66"/>
    </row>
    <row r="128" spans="3:19" x14ac:dyDescent="0.25">
      <c r="C128" s="29"/>
      <c r="D128" s="28"/>
      <c r="E128" s="28"/>
      <c r="F128" s="28"/>
      <c r="G128" s="67"/>
      <c r="H128" s="67"/>
      <c r="I128" s="67"/>
      <c r="J128" s="67"/>
      <c r="K128" s="67"/>
      <c r="R128" s="66"/>
    </row>
    <row r="129" spans="3:18" x14ac:dyDescent="0.25">
      <c r="C129" s="30" t="s">
        <v>92</v>
      </c>
      <c r="D129" s="28">
        <f>-(D26)</f>
        <v>3182</v>
      </c>
      <c r="E129" s="28">
        <f>-(E26)</f>
        <v>2406</v>
      </c>
      <c r="F129" s="28">
        <f>-(F26)</f>
        <v>2274</v>
      </c>
      <c r="G129" s="28">
        <f>G134</f>
        <v>-2524.4320585773353</v>
      </c>
      <c r="H129" s="28">
        <f t="shared" ref="H129:K129" si="27">H134</f>
        <v>-2524.4320585773353</v>
      </c>
      <c r="I129" s="28">
        <f t="shared" si="27"/>
        <v>-2524.4320585773353</v>
      </c>
      <c r="J129" s="28">
        <f t="shared" si="27"/>
        <v>-2524.4320585773353</v>
      </c>
      <c r="K129" s="28">
        <f t="shared" si="27"/>
        <v>-2524.4320585773353</v>
      </c>
      <c r="R129" s="43"/>
    </row>
    <row r="130" spans="3:18" x14ac:dyDescent="0.25">
      <c r="C130" s="68"/>
      <c r="D130" s="28"/>
      <c r="E130" s="28"/>
      <c r="F130" s="28"/>
    </row>
    <row r="131" spans="3:18" x14ac:dyDescent="0.25">
      <c r="C131" s="69" t="s">
        <v>67</v>
      </c>
      <c r="D131" s="28"/>
      <c r="E131" s="28"/>
      <c r="F131" s="28"/>
    </row>
    <row r="132" spans="3:18" x14ac:dyDescent="0.25">
      <c r="C132" s="29" t="s">
        <v>93</v>
      </c>
      <c r="D132" s="28"/>
      <c r="E132" s="28">
        <f>E59</f>
        <v>52623</v>
      </c>
      <c r="F132" s="28">
        <f>F59</f>
        <v>65648</v>
      </c>
      <c r="G132" s="28">
        <f>G59</f>
        <v>65648</v>
      </c>
      <c r="H132" s="28">
        <f>H59</f>
        <v>65648</v>
      </c>
      <c r="I132" s="28">
        <f>I59</f>
        <v>65648</v>
      </c>
      <c r="J132" s="28">
        <f>J59</f>
        <v>65648</v>
      </c>
      <c r="K132" s="28">
        <f>K59</f>
        <v>65648</v>
      </c>
    </row>
    <row r="133" spans="3:18" x14ac:dyDescent="0.25">
      <c r="C133" s="29" t="s">
        <v>94</v>
      </c>
      <c r="E133" s="56">
        <f>E134/AVERAGE(D132:E132)*-1</f>
        <v>4.5721452596773272E-2</v>
      </c>
      <c r="F133" s="56">
        <f>F134/AVERAGE(E132:F132)*-1</f>
        <v>3.8454058898631113E-2</v>
      </c>
      <c r="G133" s="70">
        <f>F133</f>
        <v>3.8454058898631113E-2</v>
      </c>
      <c r="H133" s="70">
        <f>G133</f>
        <v>3.8454058898631113E-2</v>
      </c>
      <c r="I133" s="70">
        <f>H133</f>
        <v>3.8454058898631113E-2</v>
      </c>
      <c r="J133" s="70">
        <f>I133</f>
        <v>3.8454058898631113E-2</v>
      </c>
      <c r="K133" s="70">
        <f>J133</f>
        <v>3.8454058898631113E-2</v>
      </c>
      <c r="R133" s="66"/>
    </row>
    <row r="134" spans="3:18" x14ac:dyDescent="0.25">
      <c r="C134" s="49" t="s">
        <v>23</v>
      </c>
      <c r="D134" s="41"/>
      <c r="E134" s="41">
        <f>E129*-1</f>
        <v>-2406</v>
      </c>
      <c r="F134" s="41">
        <f>F129*-1</f>
        <v>-2274</v>
      </c>
      <c r="G134" s="26">
        <f>IF($D$7=1,G133*AVERAGE(F132:G132)*-1,0)</f>
        <v>-2524.4320585773353</v>
      </c>
      <c r="H134" s="26">
        <f t="shared" ref="H134:K134" si="28">IF($D$7=1,H133*AVERAGE(G132:H132)*-1,0)</f>
        <v>-2524.4320585773353</v>
      </c>
      <c r="I134" s="26">
        <f t="shared" si="28"/>
        <v>-2524.4320585773353</v>
      </c>
      <c r="J134" s="26">
        <f t="shared" si="28"/>
        <v>-2524.4320585773353</v>
      </c>
      <c r="K134" s="26">
        <f t="shared" si="28"/>
        <v>-2524.4320585773353</v>
      </c>
    </row>
    <row r="135" spans="3:18" x14ac:dyDescent="0.25">
      <c r="E135" s="28"/>
    </row>
    <row r="136" spans="3:18" x14ac:dyDescent="0.25">
      <c r="C136" s="71" t="s">
        <v>95</v>
      </c>
      <c r="E136" s="28"/>
      <c r="F136" s="28"/>
    </row>
    <row r="137" spans="3:18" ht="15" customHeight="1" x14ac:dyDescent="0.25">
      <c r="C137" s="29" t="s">
        <v>96</v>
      </c>
      <c r="D137" s="72">
        <v>0.03</v>
      </c>
      <c r="E137" s="73">
        <v>0.03</v>
      </c>
      <c r="F137" s="73">
        <v>0.03</v>
      </c>
      <c r="G137" s="74">
        <f>F137</f>
        <v>0.03</v>
      </c>
      <c r="H137" s="74">
        <f>G137</f>
        <v>0.03</v>
      </c>
      <c r="I137" s="74">
        <f>H137</f>
        <v>0.03</v>
      </c>
      <c r="J137" s="74">
        <f>I137</f>
        <v>0.03</v>
      </c>
      <c r="K137" s="74">
        <f>J137</f>
        <v>0.03</v>
      </c>
    </row>
    <row r="138" spans="3:18" ht="15" customHeight="1" x14ac:dyDescent="0.25">
      <c r="C138" s="29" t="s">
        <v>22</v>
      </c>
      <c r="D138" s="28">
        <f>D25</f>
        <v>2949</v>
      </c>
      <c r="E138" s="28">
        <f>E25</f>
        <v>4677</v>
      </c>
      <c r="F138" s="28">
        <f>F25</f>
        <v>4381</v>
      </c>
      <c r="G138" s="25">
        <f ca="1">IF($D$7=1,AVERAGE(F48,G48)*G137,0)</f>
        <v>3512.4978350330844</v>
      </c>
      <c r="H138" s="25">
        <f ca="1">IF($D$7=1,AVERAGE(G48,H48)*H137,0)</f>
        <v>3399.5168323577755</v>
      </c>
      <c r="I138" s="25">
        <f ca="1">IF($D$7=1,AVERAGE(H48,I48)*I137,0)</f>
        <v>3823.6780458298358</v>
      </c>
      <c r="J138" s="25">
        <f ca="1">IF($D$7=1,AVERAGE(I48,J48)*J137,0)</f>
        <v>4665.8362501462043</v>
      </c>
      <c r="K138" s="25">
        <f ca="1">IF($D$7=1,AVERAGE(J48,K48)*K137,0)</f>
        <v>5755.9661263274547</v>
      </c>
    </row>
    <row r="139" spans="3:18" x14ac:dyDescent="0.25">
      <c r="C139" s="75"/>
      <c r="D139" s="56"/>
      <c r="E139" s="56"/>
      <c r="F139" s="56"/>
      <c r="G139" s="56"/>
      <c r="H139" s="56"/>
    </row>
    <row r="140" spans="3:18" x14ac:dyDescent="0.25">
      <c r="C140" s="14" t="s">
        <v>97</v>
      </c>
      <c r="D140" s="14"/>
      <c r="E140" s="14"/>
      <c r="F140" s="14"/>
      <c r="G140" s="14"/>
      <c r="H140" s="14"/>
      <c r="I140" s="14"/>
      <c r="J140" s="14"/>
      <c r="K140" s="14"/>
    </row>
    <row r="141" spans="3:18" x14ac:dyDescent="0.25">
      <c r="C141" s="13"/>
    </row>
    <row r="142" spans="3:18" ht="15.75" thickBot="1" x14ac:dyDescent="0.3">
      <c r="C142" s="76" t="s">
        <v>98</v>
      </c>
      <c r="D142" s="77"/>
      <c r="E142" s="77"/>
      <c r="F142" s="77"/>
      <c r="G142" s="77"/>
      <c r="H142" s="77"/>
      <c r="I142" s="77"/>
    </row>
    <row r="143" spans="3:18" x14ac:dyDescent="0.25">
      <c r="D143" s="13"/>
      <c r="E143" s="78" t="s">
        <v>99</v>
      </c>
      <c r="F143" s="79"/>
      <c r="G143" s="79"/>
      <c r="H143" s="79"/>
      <c r="I143" s="79"/>
    </row>
    <row r="144" spans="3:18" ht="15.75" customHeight="1" thickBot="1" x14ac:dyDescent="0.3">
      <c r="D144" s="80">
        <f ca="1">G31</f>
        <v>94599.015721053787</v>
      </c>
      <c r="E144" s="81">
        <v>-0.05</v>
      </c>
      <c r="F144" s="81">
        <v>-2.5000000000000001E-2</v>
      </c>
      <c r="G144" s="81">
        <v>0</v>
      </c>
      <c r="H144" s="81">
        <v>2.5000000000000001E-2</v>
      </c>
      <c r="I144" s="81">
        <v>0.05</v>
      </c>
    </row>
    <row r="145" spans="3:16" x14ac:dyDescent="0.25">
      <c r="C145" s="82"/>
      <c r="D145" s="83">
        <v>0.39</v>
      </c>
      <c r="E145" s="84">
        <v>103797.4457953805</v>
      </c>
      <c r="F145" s="84">
        <v>106200.76534132597</v>
      </c>
      <c r="G145" s="84">
        <v>108604.08488727138</v>
      </c>
      <c r="H145" s="84">
        <v>111007.4044332169</v>
      </c>
      <c r="I145" s="84">
        <v>113410.72397916237</v>
      </c>
    </row>
    <row r="146" spans="3:16" x14ac:dyDescent="0.25">
      <c r="C146" s="85" t="s">
        <v>100</v>
      </c>
      <c r="D146" s="83">
        <v>0.38500000000000001</v>
      </c>
      <c r="E146" s="84">
        <v>100996.66483260492</v>
      </c>
      <c r="F146" s="84">
        <v>103326.27961637192</v>
      </c>
      <c r="G146" s="84">
        <v>105655.89440013902</v>
      </c>
      <c r="H146" s="84">
        <v>107985.50918390622</v>
      </c>
      <c r="I146" s="84">
        <v>110315.1239676734</v>
      </c>
    </row>
    <row r="147" spans="3:16" x14ac:dyDescent="0.25">
      <c r="C147" s="85" t="s">
        <v>101</v>
      </c>
      <c r="D147" s="83">
        <v>0.38</v>
      </c>
      <c r="E147" s="84">
        <v>98195.883869829151</v>
      </c>
      <c r="F147" s="84">
        <v>100451.79389141781</v>
      </c>
      <c r="G147" s="84">
        <v>102707.70391300666</v>
      </c>
      <c r="H147" s="84">
        <v>104963.6139345955</v>
      </c>
      <c r="I147" s="84">
        <v>107219.52395618438</v>
      </c>
    </row>
    <row r="148" spans="3:16" x14ac:dyDescent="0.25">
      <c r="C148" s="85" t="s">
        <v>102</v>
      </c>
      <c r="D148" s="83">
        <v>0.375</v>
      </c>
      <c r="E148" s="84">
        <v>95395.10290705337</v>
      </c>
      <c r="F148" s="84">
        <v>97577.308166463743</v>
      </c>
      <c r="G148" s="84">
        <v>99759.513425874262</v>
      </c>
      <c r="H148" s="84">
        <v>101941.71868528481</v>
      </c>
      <c r="I148" s="84">
        <v>104123.92394469537</v>
      </c>
    </row>
    <row r="149" spans="3:16" x14ac:dyDescent="0.25">
      <c r="D149" s="83">
        <v>0.37</v>
      </c>
      <c r="E149" s="84">
        <v>92594.321944277588</v>
      </c>
      <c r="F149" s="84">
        <v>94702.822441509663</v>
      </c>
      <c r="G149" s="84">
        <v>96811.322938741898</v>
      </c>
      <c r="H149" s="84">
        <v>98919.823435974104</v>
      </c>
      <c r="I149" s="84">
        <v>101028.3239332064</v>
      </c>
    </row>
    <row r="150" spans="3:16" x14ac:dyDescent="0.25">
      <c r="D150" s="83">
        <v>0.36499999999999999</v>
      </c>
      <c r="E150" s="84">
        <v>89793.540981501821</v>
      </c>
      <c r="F150" s="84">
        <v>91828.336716555597</v>
      </c>
      <c r="G150" s="84">
        <v>93863.13245160949</v>
      </c>
      <c r="H150" s="84">
        <v>95897.928186663412</v>
      </c>
      <c r="I150" s="84">
        <v>97932.723921717377</v>
      </c>
    </row>
    <row r="152" spans="3:16" x14ac:dyDescent="0.25">
      <c r="C152" s="14" t="s">
        <v>103</v>
      </c>
      <c r="D152" s="14"/>
      <c r="E152" s="14"/>
      <c r="F152" s="14"/>
      <c r="G152" s="14"/>
      <c r="H152" s="14"/>
      <c r="I152" s="14"/>
      <c r="J152" s="14"/>
      <c r="K152" s="14"/>
    </row>
    <row r="153" spans="3:16" ht="15.75" thickBot="1" x14ac:dyDescent="0.3"/>
    <row r="154" spans="3:16" ht="15.75" thickBot="1" x14ac:dyDescent="0.3">
      <c r="C154" t="s">
        <v>104</v>
      </c>
      <c r="D154" s="86" t="str">
        <f>D12</f>
        <v>Base case</v>
      </c>
      <c r="F154" s="87" t="s">
        <v>105</v>
      </c>
      <c r="G154" s="39">
        <f>G15</f>
        <v>2026</v>
      </c>
      <c r="H154" s="39">
        <f>H15</f>
        <v>2027</v>
      </c>
      <c r="I154" s="39">
        <f>I15</f>
        <v>2028</v>
      </c>
      <c r="J154" s="39">
        <f>J15</f>
        <v>2029</v>
      </c>
      <c r="K154" s="39">
        <f>K15</f>
        <v>2030</v>
      </c>
    </row>
    <row r="155" spans="3:16" x14ac:dyDescent="0.25">
      <c r="E155" s="88"/>
      <c r="F155" s="89" t="s">
        <v>106</v>
      </c>
      <c r="G155" s="40">
        <f>G16</f>
        <v>46387</v>
      </c>
      <c r="H155" s="40">
        <f>H16</f>
        <v>46752</v>
      </c>
      <c r="I155" s="40">
        <f>I16</f>
        <v>47118</v>
      </c>
      <c r="J155" s="40">
        <f>J16</f>
        <v>47483</v>
      </c>
      <c r="K155" s="40">
        <f>K16</f>
        <v>47848</v>
      </c>
    </row>
    <row r="156" spans="3:16" x14ac:dyDescent="0.25">
      <c r="C156" s="29" t="s">
        <v>34</v>
      </c>
      <c r="F156" s="90" t="str">
        <f ca="1">OFFSET(F$161,MATCH($D$12,$C$162:$C$164,0)+MATCH($C156,$C$161:$C$176,0)-1,0)</f>
        <v>NM</v>
      </c>
      <c r="G156" s="91">
        <f ca="1">OFFSET(G$161,MATCH($D$12,$C$162:$C$164,0)+MATCH($C156,$C$161:$C$176,0)-1,0)</f>
        <v>0.12293134</v>
      </c>
      <c r="H156" s="91">
        <f ca="1">OFFSET(H$161,MATCH($D$12,$C$162:$C$164,0)+MATCH($C156,$C$161:$C$176,0)-1,0)</f>
        <v>0.11241292999999999</v>
      </c>
      <c r="I156" s="91">
        <f ca="1">OFFSET(I$161,MATCH($D$12,$C$162:$C$164,0)+MATCH($C156,$C$161:$C$176,0)-1,0)</f>
        <v>0.12688959999999999</v>
      </c>
      <c r="J156" s="91">
        <f ca="1">OFFSET(J$161,MATCH($D$12,$C$162:$C$164,0)+MATCH($C156,$C$161:$C$176,0)-1,0)</f>
        <v>0.12688959999999999</v>
      </c>
      <c r="K156" s="91">
        <f ca="1">OFFSET(K$161,MATCH($D$12,$C$162:$C$164,0)+MATCH($C156,$C$161:$C$176,0)-1,0)</f>
        <v>0.12688959999999999</v>
      </c>
      <c r="M156" s="92"/>
      <c r="N156" s="92"/>
      <c r="O156" s="92"/>
      <c r="P156" s="92"/>
    </row>
    <row r="157" spans="3:16" x14ac:dyDescent="0.25">
      <c r="C157" s="29" t="s">
        <v>35</v>
      </c>
      <c r="F157" s="90" t="str">
        <f ca="1">OFFSET(F$161,MATCH($D$12,$C$162:$C$164,0)+MATCH($C157,$C$161:$C$176,0)-1,0)</f>
        <v>NM</v>
      </c>
      <c r="G157" s="91">
        <f ca="1">OFFSET(G$161,MATCH($D$12,$C$162:$C$164,0)+MATCH($C157,$C$161:$C$176,0)-1,0)</f>
        <v>0.35099999999999998</v>
      </c>
      <c r="H157" s="91">
        <f ca="1">OFFSET(H$161,MATCH($D$12,$C$162:$C$164,0)+MATCH($C157,$C$161:$C$176,0)-1,0)</f>
        <v>0.36</v>
      </c>
      <c r="I157" s="91">
        <f ca="1">OFFSET(I$161,MATCH($D$12,$C$162:$C$164,0)+MATCH($C157,$C$161:$C$176,0)-1,0)</f>
        <v>0.37</v>
      </c>
      <c r="J157" s="91">
        <f ca="1">OFFSET(J$161,MATCH($D$12,$C$162:$C$164,0)+MATCH($C157,$C$161:$C$176,0)-1,0)</f>
        <v>0.37</v>
      </c>
      <c r="K157" s="91">
        <f ca="1">OFFSET(K$161,MATCH($D$12,$C$162:$C$164,0)+MATCH($C157,$C$161:$C$176,0)-1,0)</f>
        <v>0.37</v>
      </c>
      <c r="M157" s="92"/>
      <c r="N157" s="92"/>
      <c r="O157" s="92"/>
      <c r="P157" s="92"/>
    </row>
    <row r="158" spans="3:16" x14ac:dyDescent="0.25">
      <c r="C158" s="29" t="s">
        <v>107</v>
      </c>
      <c r="F158" s="90" t="str">
        <f ca="1">OFFSET(F$161,MATCH($D$12,$C$162:$C$164,0)+MATCH($C158,$C$161:$C$176,0)-1,0)</f>
        <v>NM</v>
      </c>
      <c r="G158" s="91">
        <f ca="1">OFFSET(G$161,MATCH($D$12,$C$162:$C$164,0)+MATCH($C158,$C$161:$C$176,0)-1,0)</f>
        <v>0.15</v>
      </c>
      <c r="H158" s="91">
        <f ca="1">OFFSET(H$161,MATCH($D$12,$C$162:$C$164,0)+MATCH($C158,$C$161:$C$176,0)-1,0)</f>
        <v>0.155</v>
      </c>
      <c r="I158" s="91">
        <f ca="1">OFFSET(I$161,MATCH($D$12,$C$162:$C$164,0)+MATCH($C158,$C$161:$C$176,0)-1,0)</f>
        <v>0.157</v>
      </c>
      <c r="J158" s="91">
        <f ca="1">OFFSET(J$161,MATCH($D$12,$C$162:$C$164,0)+MATCH($C158,$C$161:$C$176,0)-1,0)</f>
        <v>0.157</v>
      </c>
      <c r="K158" s="91">
        <f ca="1">OFFSET(K$161,MATCH($D$12,$C$162:$C$164,0)+MATCH($C158,$C$161:$C$176,0)-1,0)</f>
        <v>0.157</v>
      </c>
      <c r="M158" s="92"/>
      <c r="N158" s="92"/>
      <c r="O158" s="92"/>
      <c r="P158" s="92"/>
    </row>
    <row r="159" spans="3:16" x14ac:dyDescent="0.25">
      <c r="C159" s="29" t="s">
        <v>37</v>
      </c>
      <c r="F159" s="90" t="str">
        <f ca="1">OFFSET(F$161,MATCH($D$12,$C$162:$C$164,0)+MATCH($C159,$C$161:$C$176,0)-1,0)</f>
        <v>NM</v>
      </c>
      <c r="G159" s="91">
        <f ca="1">OFFSET(G$161,MATCH($D$12,$C$162:$C$164,0)+MATCH($C159,$C$161:$C$176,0)-1,0)</f>
        <v>7.5946229011548919E-2</v>
      </c>
      <c r="H159" s="91">
        <f ca="1">OFFSET(H$161,MATCH($D$12,$C$162:$C$164,0)+MATCH($C159,$C$161:$C$176,0)-1,0)</f>
        <v>7.4649783165789962E-2</v>
      </c>
      <c r="I159" s="91">
        <f ca="1">OFFSET(I$161,MATCH($D$12,$C$162:$C$164,0)+MATCH($C159,$C$161:$C$176,0)-1,0)</f>
        <v>6.6244096191742818E-2</v>
      </c>
      <c r="J159" s="91">
        <f ca="1">OFFSET(J$161,MATCH($D$12,$C$162:$C$164,0)+MATCH($C159,$C$161:$C$176,0)-1,0)</f>
        <v>6.6244096191742818E-2</v>
      </c>
      <c r="K159" s="91">
        <f ca="1">OFFSET(K$161,MATCH($D$12,$C$162:$C$164,0)+MATCH($C159,$C$161:$C$176,0)-1,0)</f>
        <v>6.6244096191742818E-2</v>
      </c>
      <c r="M159" s="92"/>
      <c r="N159" s="92"/>
      <c r="O159" s="92"/>
      <c r="P159" s="92"/>
    </row>
    <row r="160" spans="3:16" x14ac:dyDescent="0.25">
      <c r="F160" s="93"/>
    </row>
    <row r="161" spans="3:19" x14ac:dyDescent="0.25">
      <c r="C161" s="49" t="s">
        <v>34</v>
      </c>
      <c r="F161" s="93"/>
    </row>
    <row r="162" spans="3:19" x14ac:dyDescent="0.25">
      <c r="C162" s="68" t="s">
        <v>108</v>
      </c>
      <c r="F162" s="94">
        <v>2.5000000000000001E-2</v>
      </c>
      <c r="G162" s="34">
        <f>G163+$F$162</f>
        <v>0.14793133999999999</v>
      </c>
      <c r="H162" s="34">
        <f>H163+$F$162</f>
        <v>0.13741292999999999</v>
      </c>
      <c r="I162" s="34">
        <f>I163+$F$162</f>
        <v>0.15188959999999999</v>
      </c>
      <c r="J162" s="34">
        <f>J163+$F$162</f>
        <v>0.15188959999999999</v>
      </c>
      <c r="K162" s="34">
        <f>K163+$F$162</f>
        <v>0.15188959999999999</v>
      </c>
    </row>
    <row r="163" spans="3:19" x14ac:dyDescent="0.25">
      <c r="C163" s="68" t="s">
        <v>11</v>
      </c>
      <c r="F163" s="95" t="s">
        <v>109</v>
      </c>
      <c r="G163" s="35">
        <f>0.12293134</f>
        <v>0.12293134</v>
      </c>
      <c r="H163" s="35">
        <f>0.11241293</f>
        <v>0.11241292999999999</v>
      </c>
      <c r="I163" s="35">
        <f>0.1268896</f>
        <v>0.12688959999999999</v>
      </c>
      <c r="J163" s="34">
        <f>I163</f>
        <v>0.12688959999999999</v>
      </c>
      <c r="K163" s="34">
        <f>J163</f>
        <v>0.12688959999999999</v>
      </c>
      <c r="O163" s="35"/>
      <c r="P163" s="35"/>
      <c r="Q163" s="35"/>
      <c r="R163" s="35"/>
      <c r="S163" s="35"/>
    </row>
    <row r="164" spans="3:19" x14ac:dyDescent="0.25">
      <c r="C164" s="68" t="s">
        <v>110</v>
      </c>
      <c r="F164" s="94">
        <v>-2.5000000000000001E-2</v>
      </c>
      <c r="G164" s="34">
        <f>G163+$F$164</f>
        <v>9.7931340000000006E-2</v>
      </c>
      <c r="H164" s="34">
        <f>H163+$F$164</f>
        <v>8.741293E-2</v>
      </c>
      <c r="I164" s="34">
        <f>I163+$F$164</f>
        <v>0.1018896</v>
      </c>
      <c r="J164" s="34">
        <f>J163+$F$164</f>
        <v>0.1018896</v>
      </c>
      <c r="K164" s="34">
        <f>K163+$F$164</f>
        <v>0.1018896</v>
      </c>
      <c r="O164" s="35"/>
      <c r="P164" s="35"/>
      <c r="Q164" s="35"/>
      <c r="R164" s="35"/>
      <c r="S164" s="35"/>
    </row>
    <row r="165" spans="3:19" x14ac:dyDescent="0.25">
      <c r="C165" s="49" t="s">
        <v>35</v>
      </c>
      <c r="F165" s="95"/>
      <c r="G165" s="35"/>
      <c r="H165" s="35"/>
      <c r="I165" s="35"/>
      <c r="J165" s="35"/>
      <c r="K165" s="35"/>
      <c r="O165" s="35"/>
      <c r="P165" s="35"/>
      <c r="Q165" s="35"/>
      <c r="R165" s="35"/>
      <c r="S165" s="35"/>
    </row>
    <row r="166" spans="3:19" x14ac:dyDescent="0.25">
      <c r="C166" s="68" t="s">
        <v>108</v>
      </c>
      <c r="F166" s="94">
        <v>0.01</v>
      </c>
      <c r="G166" s="34">
        <f>G167+$F$166</f>
        <v>0.36099999999999999</v>
      </c>
      <c r="H166" s="34">
        <f>H167+$F$166</f>
        <v>0.37</v>
      </c>
      <c r="I166" s="34">
        <f>I167+$F$166</f>
        <v>0.38</v>
      </c>
      <c r="J166" s="34">
        <f>J167+$F$166</f>
        <v>0.38</v>
      </c>
      <c r="K166" s="34">
        <f>K167+$F$166</f>
        <v>0.38</v>
      </c>
    </row>
    <row r="167" spans="3:19" x14ac:dyDescent="0.25">
      <c r="C167" s="68" t="s">
        <v>11</v>
      </c>
      <c r="F167" s="95" t="s">
        <v>109</v>
      </c>
      <c r="G167" s="35">
        <v>0.35099999999999998</v>
      </c>
      <c r="H167" s="35">
        <v>0.36</v>
      </c>
      <c r="I167" s="35">
        <v>0.37</v>
      </c>
      <c r="J167" s="34">
        <f>I167</f>
        <v>0.37</v>
      </c>
      <c r="K167" s="34">
        <f>J167</f>
        <v>0.37</v>
      </c>
    </row>
    <row r="168" spans="3:19" x14ac:dyDescent="0.25">
      <c r="C168" s="68" t="s">
        <v>110</v>
      </c>
      <c r="F168" s="94">
        <v>-0.01</v>
      </c>
      <c r="G168" s="34">
        <f>G167+$F$168</f>
        <v>0.34099999999999997</v>
      </c>
      <c r="H168" s="34">
        <f>H167+$F$168</f>
        <v>0.35</v>
      </c>
      <c r="I168" s="34">
        <f>I167+$F$168</f>
        <v>0.36</v>
      </c>
      <c r="J168" s="34">
        <f>J167+$F$168</f>
        <v>0.36</v>
      </c>
      <c r="K168" s="34">
        <f>K167+$F$168</f>
        <v>0.36</v>
      </c>
    </row>
    <row r="169" spans="3:19" x14ac:dyDescent="0.25">
      <c r="C169" s="49" t="s">
        <v>107</v>
      </c>
      <c r="F169" s="94"/>
      <c r="G169" s="34"/>
      <c r="H169" s="34"/>
      <c r="I169" s="34"/>
      <c r="J169" s="34"/>
      <c r="K169" s="34"/>
    </row>
    <row r="170" spans="3:19" x14ac:dyDescent="0.25">
      <c r="C170" s="68" t="s">
        <v>108</v>
      </c>
      <c r="F170" s="94">
        <v>-0.01</v>
      </c>
      <c r="G170" s="34">
        <f>G171+$F$166</f>
        <v>0.16</v>
      </c>
      <c r="H170" s="34">
        <f>H171+$F$166</f>
        <v>0.16500000000000001</v>
      </c>
      <c r="I170" s="34">
        <f>I171+$F$166</f>
        <v>0.16700000000000001</v>
      </c>
      <c r="J170" s="34">
        <f>J171+$F$166</f>
        <v>0.16700000000000001</v>
      </c>
      <c r="K170" s="34">
        <f>K171+$F$166</f>
        <v>0.16700000000000001</v>
      </c>
    </row>
    <row r="171" spans="3:19" x14ac:dyDescent="0.25">
      <c r="C171" s="68" t="s">
        <v>11</v>
      </c>
      <c r="F171" s="95" t="s">
        <v>109</v>
      </c>
      <c r="G171" s="35">
        <v>0.15</v>
      </c>
      <c r="H171" s="35">
        <v>0.155</v>
      </c>
      <c r="I171" s="35">
        <v>0.157</v>
      </c>
      <c r="J171" s="34">
        <f>I171</f>
        <v>0.157</v>
      </c>
      <c r="K171" s="34">
        <f>J171</f>
        <v>0.157</v>
      </c>
    </row>
    <row r="172" spans="3:19" x14ac:dyDescent="0.25">
      <c r="C172" s="68" t="s">
        <v>110</v>
      </c>
      <c r="F172" s="94">
        <v>0.01</v>
      </c>
      <c r="G172" s="34">
        <f>G171+$F$168</f>
        <v>0.13999999999999999</v>
      </c>
      <c r="H172" s="34">
        <f>H171+$F$168</f>
        <v>0.14499999999999999</v>
      </c>
      <c r="I172" s="34">
        <f>I171+$F$168</f>
        <v>0.14699999999999999</v>
      </c>
      <c r="J172" s="34">
        <f>J171+$F$168</f>
        <v>0.14699999999999999</v>
      </c>
      <c r="K172" s="34">
        <f>K171+$F$168</f>
        <v>0.14699999999999999</v>
      </c>
    </row>
    <row r="173" spans="3:19" x14ac:dyDescent="0.25">
      <c r="C173" s="49" t="s">
        <v>37</v>
      </c>
      <c r="F173" s="95"/>
      <c r="G173" s="96"/>
      <c r="H173" s="96"/>
      <c r="I173" s="96"/>
      <c r="J173" s="96"/>
      <c r="K173" s="96"/>
    </row>
    <row r="174" spans="3:19" x14ac:dyDescent="0.25">
      <c r="C174" s="68" t="s">
        <v>108</v>
      </c>
      <c r="F174" s="94">
        <v>-0.01</v>
      </c>
      <c r="G174" s="34">
        <f>G175+$F$174</f>
        <v>6.5946229011548924E-2</v>
      </c>
      <c r="H174" s="34">
        <f>H175+$F$174</f>
        <v>6.4649783165789967E-2</v>
      </c>
      <c r="I174" s="34">
        <f>I175+$F$174</f>
        <v>5.6244096191742816E-2</v>
      </c>
      <c r="J174" s="34">
        <f>J175+$F$174</f>
        <v>5.6244096191742816E-2</v>
      </c>
      <c r="K174" s="34">
        <f>K175+$F$174</f>
        <v>5.6244096191742816E-2</v>
      </c>
    </row>
    <row r="175" spans="3:19" x14ac:dyDescent="0.25">
      <c r="C175" s="68" t="s">
        <v>11</v>
      </c>
      <c r="F175" s="95" t="s">
        <v>109</v>
      </c>
      <c r="G175" s="35">
        <v>7.5946229011548919E-2</v>
      </c>
      <c r="H175" s="35">
        <v>7.4649783165789962E-2</v>
      </c>
      <c r="I175" s="35">
        <v>6.6244096191742818E-2</v>
      </c>
      <c r="J175" s="34">
        <f>I175</f>
        <v>6.6244096191742818E-2</v>
      </c>
      <c r="K175" s="34">
        <f>J175</f>
        <v>6.6244096191742818E-2</v>
      </c>
    </row>
    <row r="176" spans="3:19" ht="15.75" thickBot="1" x14ac:dyDescent="0.3">
      <c r="C176" s="68" t="s">
        <v>110</v>
      </c>
      <c r="F176" s="97">
        <v>0.01</v>
      </c>
      <c r="G176" s="34">
        <f>G175+$F$176</f>
        <v>8.5946229011548914E-2</v>
      </c>
      <c r="H176" s="34">
        <f>H175+$F$176</f>
        <v>8.4649783165789957E-2</v>
      </c>
      <c r="I176" s="34">
        <f>I175+$F$176</f>
        <v>7.6244096191742813E-2</v>
      </c>
      <c r="J176" s="34">
        <f>J175+$F$176</f>
        <v>7.6244096191742813E-2</v>
      </c>
      <c r="K176" s="34">
        <f>K175+$F$176</f>
        <v>7.6244096191742813E-2</v>
      </c>
    </row>
    <row r="178" spans="3:13" x14ac:dyDescent="0.25">
      <c r="C178" s="14" t="s">
        <v>111</v>
      </c>
      <c r="D178" s="14"/>
      <c r="E178" s="14"/>
      <c r="F178" s="14"/>
      <c r="G178" s="14"/>
      <c r="H178" s="14"/>
      <c r="I178" s="14"/>
      <c r="J178" s="14"/>
      <c r="K178" s="14"/>
    </row>
    <row r="179" spans="3:13" x14ac:dyDescent="0.25">
      <c r="C179" s="37" t="str">
        <f t="shared" ref="C179:K180" si="29">C15</f>
        <v xml:space="preserve">Fiscal year  </v>
      </c>
      <c r="D179" s="38">
        <f t="shared" si="29"/>
        <v>2023</v>
      </c>
      <c r="E179" s="38">
        <f t="shared" si="29"/>
        <v>2024</v>
      </c>
      <c r="F179" s="38">
        <f t="shared" si="29"/>
        <v>2025</v>
      </c>
      <c r="G179" s="39">
        <f t="shared" si="29"/>
        <v>2026</v>
      </c>
      <c r="H179" s="39">
        <f t="shared" si="29"/>
        <v>2027</v>
      </c>
      <c r="I179" s="39">
        <f t="shared" si="29"/>
        <v>2028</v>
      </c>
      <c r="J179" s="39">
        <f t="shared" si="29"/>
        <v>2029</v>
      </c>
      <c r="K179" s="39">
        <f t="shared" si="29"/>
        <v>2030</v>
      </c>
    </row>
    <row r="180" spans="3:13" x14ac:dyDescent="0.25">
      <c r="C180" s="15" t="str">
        <f t="shared" si="29"/>
        <v>Fiscal year end date</v>
      </c>
      <c r="D180" s="40">
        <f t="shared" si="29"/>
        <v>45291</v>
      </c>
      <c r="E180" s="40">
        <f t="shared" si="29"/>
        <v>45657</v>
      </c>
      <c r="F180" s="40">
        <f t="shared" si="29"/>
        <v>46022</v>
      </c>
      <c r="G180" s="40">
        <f t="shared" si="29"/>
        <v>46387</v>
      </c>
      <c r="H180" s="40">
        <f t="shared" si="29"/>
        <v>46752</v>
      </c>
      <c r="I180" s="40">
        <f t="shared" si="29"/>
        <v>47118</v>
      </c>
      <c r="J180" s="40">
        <f t="shared" si="29"/>
        <v>47483</v>
      </c>
      <c r="K180" s="40">
        <f t="shared" si="29"/>
        <v>47848</v>
      </c>
    </row>
    <row r="181" spans="3:13" x14ac:dyDescent="0.25">
      <c r="G181" s="35"/>
      <c r="H181" s="35"/>
      <c r="I181" s="35"/>
      <c r="J181" s="34"/>
      <c r="K181" s="34"/>
    </row>
    <row r="182" spans="3:13" x14ac:dyDescent="0.25">
      <c r="C182" t="s">
        <v>28</v>
      </c>
      <c r="D182" s="98">
        <f t="shared" ref="D182:K182" si="30">D31</f>
        <v>30425</v>
      </c>
      <c r="E182" s="98">
        <f t="shared" si="30"/>
        <v>59248</v>
      </c>
      <c r="F182" s="98">
        <f t="shared" si="30"/>
        <v>77670</v>
      </c>
      <c r="G182" s="98">
        <f t="shared" ca="1" si="30"/>
        <v>94599.015721053787</v>
      </c>
      <c r="H182" s="98">
        <f t="shared" ca="1" si="30"/>
        <v>107312.47853524234</v>
      </c>
      <c r="I182" s="98">
        <f t="shared" ca="1" si="30"/>
        <v>133390.26418230077</v>
      </c>
      <c r="J182" s="98">
        <f t="shared" ca="1" si="30"/>
        <v>149373.25538022036</v>
      </c>
      <c r="K182" s="98">
        <f t="shared" ca="1" si="30"/>
        <v>167499.18592915198</v>
      </c>
    </row>
    <row r="183" spans="3:13" x14ac:dyDescent="0.25">
      <c r="C183" t="s">
        <v>112</v>
      </c>
      <c r="D183" s="99">
        <v>10304</v>
      </c>
      <c r="E183" s="99">
        <v>10473</v>
      </c>
      <c r="F183" s="99">
        <v>10656</v>
      </c>
      <c r="G183" s="98">
        <f ca="1">F183+(-G189+G190)/G191</f>
        <v>10760.095735217999</v>
      </c>
      <c r="H183" s="98">
        <f t="shared" ref="H183:K183" ca="1" si="31">G183+(-H189+H190)/H191</f>
        <v>10860.78916288266</v>
      </c>
      <c r="I183" s="98">
        <f t="shared" ca="1" si="31"/>
        <v>10959.459055424972</v>
      </c>
      <c r="J183" s="98">
        <f t="shared" ca="1" si="31"/>
        <v>11056.146077806752</v>
      </c>
      <c r="K183" s="98">
        <f t="shared" ca="1" si="31"/>
        <v>11150.890077786749</v>
      </c>
    </row>
    <row r="184" spans="3:13" x14ac:dyDescent="0.25">
      <c r="C184" s="13" t="s">
        <v>113</v>
      </c>
      <c r="D184" s="100">
        <f t="shared" ref="D184:K184" si="32">D182/D183</f>
        <v>2.9527368012422359</v>
      </c>
      <c r="E184" s="100">
        <f t="shared" si="32"/>
        <v>5.6572137878353859</v>
      </c>
      <c r="F184" s="100">
        <f t="shared" si="32"/>
        <v>7.2888513513513518</v>
      </c>
      <c r="G184" s="100">
        <f t="shared" ca="1" si="32"/>
        <v>8.791651863415062</v>
      </c>
      <c r="H184" s="100">
        <f t="shared" ca="1" si="32"/>
        <v>9.8807256936713763</v>
      </c>
      <c r="I184" s="100">
        <f t="shared" ca="1" si="32"/>
        <v>12.17124526928837</v>
      </c>
      <c r="J184" s="100">
        <f t="shared" ca="1" si="32"/>
        <v>13.510427080921138</v>
      </c>
      <c r="K184" s="100">
        <f t="shared" ca="1" si="32"/>
        <v>15.021149411455552</v>
      </c>
    </row>
    <row r="185" spans="3:13" x14ac:dyDescent="0.25">
      <c r="D185" s="7"/>
      <c r="E185" s="7"/>
      <c r="F185" s="7"/>
      <c r="G185" s="111"/>
      <c r="H185" s="111"/>
      <c r="I185" s="111"/>
      <c r="J185" s="111"/>
      <c r="K185" s="111"/>
      <c r="M185" s="112"/>
    </row>
    <row r="186" spans="3:13" x14ac:dyDescent="0.25">
      <c r="C186" t="s">
        <v>114</v>
      </c>
      <c r="D186" s="99">
        <v>10492</v>
      </c>
      <c r="E186" s="99">
        <v>10721</v>
      </c>
      <c r="F186" s="99">
        <v>10827</v>
      </c>
      <c r="G186" s="98">
        <f ca="1">G183+F186-F183</f>
        <v>10931.095735217998</v>
      </c>
      <c r="H186" s="98">
        <f t="shared" ref="H186:K186" ca="1" si="33">H183+G186-G183</f>
        <v>11031.78916288266</v>
      </c>
      <c r="I186" s="98">
        <f t="shared" ca="1" si="33"/>
        <v>11130.459055424972</v>
      </c>
      <c r="J186" s="98">
        <f t="shared" ca="1" si="33"/>
        <v>11227.14607780675</v>
      </c>
      <c r="K186" s="98">
        <f t="shared" ca="1" si="33"/>
        <v>11321.890077786749</v>
      </c>
    </row>
    <row r="187" spans="3:13" x14ac:dyDescent="0.25">
      <c r="C187" s="13" t="s">
        <v>115</v>
      </c>
      <c r="D187" s="100">
        <f>D182/D186</f>
        <v>2.8998284407167367</v>
      </c>
      <c r="E187" s="100">
        <f t="shared" ref="E187:K187" si="34">E182/E186</f>
        <v>5.5263501539035538</v>
      </c>
      <c r="F187" s="100">
        <f t="shared" si="34"/>
        <v>7.1737323358270988</v>
      </c>
      <c r="G187" s="100">
        <f t="shared" ca="1" si="34"/>
        <v>8.6541201369477534</v>
      </c>
      <c r="H187" s="100">
        <f t="shared" ca="1" si="34"/>
        <v>9.7275679357890361</v>
      </c>
      <c r="I187" s="100">
        <f t="shared" ca="1" si="34"/>
        <v>11.984255412833717</v>
      </c>
      <c r="J187" s="100">
        <f t="shared" ca="1" si="34"/>
        <v>13.304650562576521</v>
      </c>
      <c r="K187" s="100">
        <f t="shared" ca="1" si="34"/>
        <v>14.794277702605591</v>
      </c>
    </row>
    <row r="188" spans="3:13" x14ac:dyDescent="0.25">
      <c r="G188" s="101"/>
    </row>
    <row r="189" spans="3:13" x14ac:dyDescent="0.25">
      <c r="C189" t="s">
        <v>116</v>
      </c>
      <c r="G189" s="98">
        <f>-(G121)</f>
        <v>0</v>
      </c>
      <c r="H189" s="98">
        <f>-(H121)</f>
        <v>0</v>
      </c>
      <c r="I189" s="98">
        <f>-(I121)</f>
        <v>0</v>
      </c>
      <c r="J189" s="98">
        <f>-(J121)</f>
        <v>0</v>
      </c>
      <c r="K189" s="98">
        <f>-(K121)</f>
        <v>0</v>
      </c>
    </row>
    <row r="190" spans="3:13" x14ac:dyDescent="0.25">
      <c r="C190" t="s">
        <v>117</v>
      </c>
      <c r="G190" s="102">
        <f ca="1">G35</f>
        <v>21860.104395779999</v>
      </c>
      <c r="H190" s="102">
        <f ca="1">H35</f>
        <v>24317.462781015511</v>
      </c>
      <c r="I190" s="102">
        <f ca="1">I35</f>
        <v>27403.095906313454</v>
      </c>
      <c r="J190" s="102">
        <f ca="1">J35</f>
        <v>30880.263784627205</v>
      </c>
      <c r="K190" s="102">
        <f ca="1">K35</f>
        <v>34798.648104153035</v>
      </c>
    </row>
    <row r="191" spans="3:13" x14ac:dyDescent="0.25">
      <c r="C191" t="s">
        <v>118</v>
      </c>
      <c r="G191" s="103">
        <v>210</v>
      </c>
      <c r="H191" s="104">
        <f>G191*(1+H192)</f>
        <v>241.49999999999997</v>
      </c>
      <c r="I191" s="104">
        <f>H191*(1+I192)</f>
        <v>277.72499999999997</v>
      </c>
      <c r="J191" s="104">
        <f>I191*(1+J192)</f>
        <v>319.38374999999996</v>
      </c>
      <c r="K191" s="104">
        <f>J191*(1+K192)</f>
        <v>367.29131249999995</v>
      </c>
    </row>
    <row r="192" spans="3:13" x14ac:dyDescent="0.25">
      <c r="C192" t="s">
        <v>119</v>
      </c>
      <c r="H192" s="105">
        <v>0.15</v>
      </c>
      <c r="I192" s="105">
        <v>0.15</v>
      </c>
      <c r="J192" s="105">
        <v>0.15</v>
      </c>
      <c r="K192" s="105">
        <v>0.15</v>
      </c>
    </row>
    <row r="193" spans="3:13" ht="15.75" thickBot="1" x14ac:dyDescent="0.3">
      <c r="C193" s="106" t="s">
        <v>120</v>
      </c>
      <c r="D193" s="77"/>
      <c r="E193" s="77"/>
      <c r="F193" s="77"/>
      <c r="G193" s="77"/>
      <c r="H193" s="77"/>
      <c r="I193" s="77"/>
      <c r="J193" s="77"/>
      <c r="K193" s="77"/>
    </row>
    <row r="194" spans="3:13" ht="15" customHeight="1" x14ac:dyDescent="0.25">
      <c r="C194" s="13" t="s">
        <v>121</v>
      </c>
      <c r="D194" s="13"/>
      <c r="E194" s="13"/>
      <c r="F194" s="82" t="s">
        <v>122</v>
      </c>
      <c r="G194" s="107">
        <f>D11</f>
        <v>10734.92087</v>
      </c>
      <c r="H194" s="108">
        <f ca="1">G196</f>
        <v>10839.016605217999</v>
      </c>
      <c r="I194" s="108">
        <f t="shared" ref="I194:K194" ca="1" si="35">H196</f>
        <v>10939.71003288266</v>
      </c>
      <c r="J194" s="108">
        <f t="shared" ca="1" si="35"/>
        <v>11038.379925424972</v>
      </c>
      <c r="K194" s="108">
        <f t="shared" ca="1" si="35"/>
        <v>11135.066947806752</v>
      </c>
    </row>
    <row r="195" spans="3:13" x14ac:dyDescent="0.25">
      <c r="C195" t="s">
        <v>123</v>
      </c>
      <c r="G195" s="98">
        <f ca="1">(-G189+G190)/G191</f>
        <v>104.095735218</v>
      </c>
      <c r="H195" s="98">
        <f t="shared" ref="H195:K195" ca="1" si="36">(-H189+H190)/H191</f>
        <v>100.69342766466052</v>
      </c>
      <c r="I195" s="98">
        <f t="shared" ca="1" si="36"/>
        <v>98.669892542311487</v>
      </c>
      <c r="J195" s="98">
        <f t="shared" ca="1" si="36"/>
        <v>96.68702238178119</v>
      </c>
      <c r="K195" s="98">
        <f t="shared" ca="1" si="36"/>
        <v>94.743999979996914</v>
      </c>
    </row>
    <row r="196" spans="3:13" x14ac:dyDescent="0.25">
      <c r="C196" t="s">
        <v>124</v>
      </c>
      <c r="G196" s="98">
        <f ca="1">SUM(G194:G195)</f>
        <v>10839.016605217999</v>
      </c>
      <c r="H196" s="98">
        <f t="shared" ref="H196:K196" ca="1" si="37">SUM(H194:H195)</f>
        <v>10939.71003288266</v>
      </c>
      <c r="I196" s="98">
        <f t="shared" ca="1" si="37"/>
        <v>11038.379925424972</v>
      </c>
      <c r="J196" s="98">
        <f t="shared" ca="1" si="37"/>
        <v>11135.066947806752</v>
      </c>
      <c r="K196" s="98">
        <f t="shared" ca="1" si="37"/>
        <v>11229.810947786749</v>
      </c>
    </row>
    <row r="197" spans="3:13" x14ac:dyDescent="0.25">
      <c r="C197" s="13" t="s">
        <v>125</v>
      </c>
      <c r="D197" s="13"/>
      <c r="E197" s="13"/>
      <c r="F197" s="13"/>
      <c r="G197" s="108">
        <f ca="1">AVERAGE(G196,G194)</f>
        <v>10786.968737609001</v>
      </c>
      <c r="H197" s="108">
        <f t="shared" ref="H197:K197" ca="1" si="38">AVERAGE(H196,H194)</f>
        <v>10889.36331905033</v>
      </c>
      <c r="I197" s="108">
        <f t="shared" ca="1" si="38"/>
        <v>10989.044979153816</v>
      </c>
      <c r="J197" s="108">
        <f t="shared" ca="1" si="38"/>
        <v>11086.723436615863</v>
      </c>
      <c r="K197" s="108">
        <f t="shared" ca="1" si="38"/>
        <v>11182.438947796751</v>
      </c>
    </row>
    <row r="198" spans="3:13" ht="15.75" thickBot="1" x14ac:dyDescent="0.3">
      <c r="C198" s="106" t="s">
        <v>126</v>
      </c>
      <c r="D198" s="77"/>
      <c r="E198" s="77"/>
      <c r="F198" s="77"/>
      <c r="G198" s="77"/>
      <c r="H198" s="77"/>
      <c r="I198" s="77"/>
      <c r="J198" s="77"/>
      <c r="K198" s="77"/>
    </row>
    <row r="199" spans="3:13" x14ac:dyDescent="0.25">
      <c r="C199" s="13" t="s">
        <v>28</v>
      </c>
      <c r="D199" s="108">
        <f t="shared" ref="D199:K199" si="39">D31</f>
        <v>30425</v>
      </c>
      <c r="E199" s="108">
        <f t="shared" si="39"/>
        <v>59248</v>
      </c>
      <c r="F199" s="108">
        <f t="shared" si="39"/>
        <v>77670</v>
      </c>
      <c r="G199" s="108">
        <f t="shared" ca="1" si="39"/>
        <v>94599.015721053787</v>
      </c>
      <c r="H199" s="108">
        <f t="shared" ca="1" si="39"/>
        <v>107312.47853524234</v>
      </c>
      <c r="I199" s="108">
        <f t="shared" ca="1" si="39"/>
        <v>133390.26418230077</v>
      </c>
      <c r="J199" s="108">
        <f t="shared" ca="1" si="39"/>
        <v>149373.25538022036</v>
      </c>
      <c r="K199" s="108">
        <f t="shared" ca="1" si="39"/>
        <v>167499.18592915198</v>
      </c>
    </row>
    <row r="200" spans="3:13" x14ac:dyDescent="0.25">
      <c r="C200" s="29" t="s">
        <v>127</v>
      </c>
      <c r="E200" s="109">
        <f>E199/D199-1</f>
        <v>0.9473459326211997</v>
      </c>
      <c r="F200" s="110">
        <f t="shared" ref="F200:K200" si="40">F199/E199-1</f>
        <v>0.31093032676208487</v>
      </c>
      <c r="G200" s="110">
        <f t="shared" ca="1" si="40"/>
        <v>0.2179608049575612</v>
      </c>
      <c r="H200" s="110">
        <f t="shared" ca="1" si="40"/>
        <v>0.13439318281785306</v>
      </c>
      <c r="I200" s="110">
        <f t="shared" ca="1" si="40"/>
        <v>0.24300795213199988</v>
      </c>
      <c r="J200" s="110">
        <f t="shared" ca="1" si="40"/>
        <v>0.11982127253362429</v>
      </c>
      <c r="K200" s="110">
        <f t="shared" ca="1" si="40"/>
        <v>0.12134655901281111</v>
      </c>
    </row>
    <row r="202" spans="3:13" x14ac:dyDescent="0.25">
      <c r="M202" s="33"/>
    </row>
    <row r="203" spans="3:13" x14ac:dyDescent="0.25">
      <c r="G203" s="101"/>
    </row>
  </sheetData>
  <conditionalFormatting sqref="C42">
    <cfRule type="expression" dxfId="2" priority="3">
      <formula>#REF!=$C42</formula>
    </cfRule>
  </conditionalFormatting>
  <conditionalFormatting sqref="C159">
    <cfRule type="expression" dxfId="1" priority="1">
      <formula>#REF!=$C159</formula>
    </cfRule>
  </conditionalFormatting>
  <conditionalFormatting sqref="C173">
    <cfRule type="expression" dxfId="0" priority="2">
      <formula>#REF!=$C173</formula>
    </cfRule>
  </conditionalFormatting>
  <dataValidations count="3">
    <dataValidation type="list" allowBlank="1" showInputMessage="1" showErrorMessage="1" sqref="C3" xr:uid="{BA23CCF6-E7FD-45C7-A78A-F140C6DE040B}">
      <formula1>"$ bns except per share, $ mm except per share,$ in thousands except per share"</formula1>
    </dataValidation>
    <dataValidation type="list" allowBlank="1" showInputMessage="1" showErrorMessage="1" sqref="D12" xr:uid="{FFB591B0-210B-4FA2-9559-7B3DED9E1B4B}">
      <formula1>$C$162:$C$164</formula1>
    </dataValidation>
    <dataValidation type="list" allowBlank="1" showInputMessage="1" showErrorMessage="1" sqref="D7" xr:uid="{F10A6B03-A78C-4E5E-A55C-2535F3907162}">
      <formula1>"0,1"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Amgad Bashir</dc:creator>
  <cp:lastModifiedBy>Amgad Bashir</cp:lastModifiedBy>
  <dcterms:created xsi:type="dcterms:W3CDTF">2026-02-08T20:27:52Z</dcterms:created>
  <dcterms:modified xsi:type="dcterms:W3CDTF">2026-02-09T19:36:02Z</dcterms:modified>
</cp:coreProperties>
</file>